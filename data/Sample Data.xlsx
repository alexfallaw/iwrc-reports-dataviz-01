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aleza\Documents\IWRC\"/>
    </mc:Choice>
  </mc:AlternateContent>
  <xr:revisionPtr revIDLastSave="0" documentId="13_ncr:1_{B71EBC6C-F351-4ACE-97A3-5B7D4E5BE544}" xr6:coauthVersionLast="47" xr6:coauthVersionMax="47" xr10:uidLastSave="{00000000-0000-0000-0000-000000000000}"/>
  <bookViews>
    <workbookView xWindow="-120" yWindow="-120" windowWidth="29040" windowHeight="15720" tabRatio="415" activeTab="2" xr2:uid="{0DF7DD8F-831C-4C77-8EBF-695E8FE31660}"/>
  </bookViews>
  <sheets>
    <sheet name="project_data" sheetId="3" r:id="rId1"/>
    <sheet name="product_data" sheetId="4" r:id="rId2"/>
    <sheet name="award_data" sheetId="5" r:id="rId3"/>
    <sheet name="sample_data" sheetId="1"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<sst xmlns="http://schemas.openxmlformats.org/spreadsheetml/2006/main" count="1226" uniqueCount="290">
  <si>
    <t>Sheet ID</t>
  </si>
  <si>
    <t>Project ID</t>
  </si>
  <si>
    <t>Project Title</t>
  </si>
  <si>
    <t>Funding Type</t>
  </si>
  <si>
    <t>Funding Amount</t>
  </si>
  <si>
    <t>WRRI Science Priority</t>
  </si>
  <si>
    <t>Focus Category 1</t>
  </si>
  <si>
    <t>Focus Category 2</t>
  </si>
  <si>
    <t>Focus Category 3</t>
  </si>
  <si>
    <t>Project PIs</t>
  </si>
  <si>
    <t>PI Affiliated Organization</t>
  </si>
  <si>
    <t>Undegraduates Supported by WRRA $</t>
  </si>
  <si>
    <t>Masters Students Supported by WRRA $</t>
  </si>
  <si>
    <t>PhD Students Supported by WRRA $</t>
  </si>
  <si>
    <t>Postdocs Supported by WRRA $</t>
  </si>
  <si>
    <t>Students Supported by Non-Federal (Matching) Funds</t>
  </si>
  <si>
    <t>Product Type</t>
  </si>
  <si>
    <t>Product Citation</t>
  </si>
  <si>
    <t>Year of Publication</t>
  </si>
  <si>
    <t>Product Stage</t>
  </si>
  <si>
    <t>Student Co-Authors</t>
  </si>
  <si>
    <t>USGS Staff Co-Authors</t>
  </si>
  <si>
    <t>Award, Achievement, or Grant</t>
  </si>
  <si>
    <t>Award Source Organization</t>
  </si>
  <si>
    <t>Award Description</t>
  </si>
  <si>
    <t>Year Awarded</t>
  </si>
  <si>
    <t>Month Awarded</t>
  </si>
  <si>
    <t>Award Recipient Names</t>
  </si>
  <si>
    <t>Award Recipient Roles</t>
  </si>
  <si>
    <t>Benefit of Award</t>
  </si>
  <si>
    <t>Monetary Benefit of Award</t>
  </si>
  <si>
    <t>Award Comments</t>
  </si>
  <si>
    <t>Unsorted ID</t>
  </si>
  <si>
    <t>Sorted ID</t>
  </si>
  <si>
    <t>2020IL216B</t>
  </si>
  <si>
    <t>A Coupled Urban Spatial Simulation and Stormwater Runoff Model and Its Implications for Physrical Design: The Case of Chicago</t>
  </si>
  <si>
    <t>Base Grant (104b)</t>
  </si>
  <si>
    <t>Water Policy, Planning, and Socioeconomics</t>
  </si>
  <si>
    <t>CLIMATOLOGICAL PROCESSES</t>
  </si>
  <si>
    <t>MODELS</t>
  </si>
  <si>
    <t>HYDROLOGY</t>
  </si>
  <si>
    <t>Brian Deal</t>
  </si>
  <si>
    <t>University of Illinois</t>
  </si>
  <si>
    <t>IL-2022_Sankaran</t>
  </si>
  <si>
    <t>A hybrid plasma-electrocatalyst activated process for the synthesis of ammonia from air and water</t>
  </si>
  <si>
    <t>Water Technology and innovation</t>
  </si>
  <si>
    <t>agriculture</t>
  </si>
  <si>
    <t>atmospheric deposition</t>
  </si>
  <si>
    <t>conservation</t>
  </si>
  <si>
    <t>Dr. R. Mohan Sankaran</t>
  </si>
  <si>
    <t>University of Illinois at Urbana-Champaign</t>
  </si>
  <si>
    <t>IL-2022_Lampert_B</t>
  </si>
  <si>
    <t>Analyzing nutrient sources in the production of harmful algal blooms in Long Lake and reducing energy use for wastewater nutrient removal using machine learning</t>
  </si>
  <si>
    <t>Water Quality</t>
  </si>
  <si>
    <t>surface water</t>
  </si>
  <si>
    <t>wastewater</t>
  </si>
  <si>
    <t>phosphorus</t>
  </si>
  <si>
    <t>Dr. David Lampert</t>
  </si>
  <si>
    <t>Illinois Institute of Technology</t>
  </si>
  <si>
    <t>Journal Article or Report In-Prep</t>
  </si>
  <si>
    <t>Development of low-cost USV operated with open-source software for bathymetry mapping</t>
  </si>
  <si>
    <t>IL_2021_Stillwell</t>
  </si>
  <si>
    <t>Assessing the Feasibility of Non-Potable Water Reuse in Illinois</t>
  </si>
  <si>
    <t>Water Scarcity and Availability</t>
  </si>
  <si>
    <t>WATER SUPPLY</t>
  </si>
  <si>
    <t>LAW, INSTITUTIONS, AND POLICY</t>
  </si>
  <si>
    <t>MANAGEMENT AND PLANNING</t>
  </si>
  <si>
    <t>Ashlynn Stillwell</t>
  </si>
  <si>
    <t>Thesis/Dissertation</t>
  </si>
  <si>
    <t>Hastie, Allisa G. (2022). Opportunities for Non-Potable Water Reuse in the United States based on a Supply-Demand Assessment and Review of State Policies. M.S. thesis, University of Illinois Urbana-Champaign.</t>
  </si>
  <si>
    <t>Journal Article</t>
  </si>
  <si>
    <t>Hastie, Allisa G., Victoria V. Otrubina, and Ashlynn S. Stillwell. (2022). "Lack of Clarity Around Policies, Data Management, and Infrastructure May Hinder Efficient Use of Reclaimed Water Resources in the United States." ES&amp;T Water, accepted.</t>
  </si>
  <si>
    <t>Hastie, Allisa G., Victoria V. Otrubina, and Ashlynn S. Stillwell. (2022). "Identifying Opportunities for Non-potable Water Reuse Based on Potential Supplies and Demands in the United States." ES&amp;T Water, in revision.</t>
  </si>
  <si>
    <t>IL_2023_Li</t>
  </si>
  <si>
    <t>Assessing the Vulnerability of Public Water Systems to Droughts with an Integrated Remote Sensing and Social Sensing Approach</t>
  </si>
  <si>
    <t>water supply</t>
  </si>
  <si>
    <t>drought</t>
  </si>
  <si>
    <t>hydrology</t>
  </si>
  <si>
    <t>Ruopu Li</t>
  </si>
  <si>
    <t>Southern Illinois University</t>
  </si>
  <si>
    <t>Akinde, Fisayo Akindele. (2025). Assessing the Vulnerability of Public Water Systems to Droughts Through Integrated Hydrological Modeling, Remote Sensing, and Social Sensing. Thesis no. 3383.</t>
  </si>
  <si>
    <t>IL_2022_Corush</t>
  </si>
  <si>
    <t>Causes and Consequences of Mollusk Invasions Throughout the Illinois River Watershed</t>
  </si>
  <si>
    <t>104g - AIS</t>
  </si>
  <si>
    <t>Watershed Function</t>
  </si>
  <si>
    <t>aquatic invasive species</t>
  </si>
  <si>
    <t>ecology</t>
  </si>
  <si>
    <t>Joel Corush</t>
  </si>
  <si>
    <t>University of Illinois Urbana-Champaign</t>
  </si>
  <si>
    <t>Tracking the spread of invasive mollusks in the Illinois River watershed.</t>
  </si>
  <si>
    <t>inProgress</t>
  </si>
  <si>
    <t>Patterns of ichthyofauna diversity in the illinois River and the response to mollusk invasions.</t>
  </si>
  <si>
    <t>IL-2022_Corush</t>
  </si>
  <si>
    <t>Genetic variation in an invasive clam (Form B: Corbicula largillierti) across a longitudinal stream gradient in Illinois, USA.</t>
  </si>
  <si>
    <t>IL_2021_Lampert</t>
  </si>
  <si>
    <t>Containment of Per- and Polyfluoroalkyl Substances to Protect Surface Water</t>
  </si>
  <si>
    <t>TOXIC SUBSTANCES</t>
  </si>
  <si>
    <t>SOLUTE TRANSPORT</t>
  </si>
  <si>
    <t>GROUNDWATER</t>
  </si>
  <si>
    <t>David Lampert</t>
  </si>
  <si>
    <t>Analysis of a passive sampling device to assess the behavior of PFAS compounds in sediments</t>
  </si>
  <si>
    <t>Additional USGS 104g grant ($250,000, expected December 2022) that follows on this research</t>
  </si>
  <si>
    <t>PFAS transport from contaminated areas to surface waters</t>
  </si>
  <si>
    <t xml:space="preserve">Per- and polyfluoroalkyl substances fate and transport in sediments, sand, and adsorbent media </t>
  </si>
  <si>
    <t>Additional USEPA P3 grants ($100,000 awarded 10/2022) that follow on this research</t>
  </si>
  <si>
    <t>IL_2024_Park</t>
  </si>
  <si>
    <t>Conversion of Per- and Polyfluoroalkyl Substances (PFAS) to Valuable Chemicals via Electrochemical Destruction Process</t>
  </si>
  <si>
    <t>Water-Related Hazards</t>
  </si>
  <si>
    <t>PFAs</t>
  </si>
  <si>
    <t>methods</t>
  </si>
  <si>
    <t>Jung Hyun Park</t>
  </si>
  <si>
    <t>Illinois Sustainable Technology Center</t>
  </si>
  <si>
    <t>IL_2023_Su</t>
  </si>
  <si>
    <t>Development of Next-Generation Electrochemical Systems for Short-Chain PFAS Removal and Remediation</t>
  </si>
  <si>
    <t>Water Technology and Innovation</t>
  </si>
  <si>
    <t>treatment</t>
  </si>
  <si>
    <t>toxic substances</t>
  </si>
  <si>
    <t>Xiao Su</t>
  </si>
  <si>
    <t>Anaira Román Santiago, Adrija Dutta, Jhen-Cih Wu, Song Yin, Ye Won Lee, Chia-Hung Hou, Diwakar Shukla, Xiao Su, Investigating the Structure–Function Relationships of Fluorinated Interfaces for PFAS Capture and Electrochemically-Mediated Release, Volume 35, Issue 36, September 4, 2025, 2502317.</t>
  </si>
  <si>
    <t>Award</t>
  </si>
  <si>
    <t>American Chemical Society</t>
  </si>
  <si>
    <t>The Satinder Ahuja Award for Young Investigators in Separation Science</t>
  </si>
  <si>
    <t>July</t>
  </si>
  <si>
    <t>CO-PI</t>
  </si>
  <si>
    <t>N. Kim, A. Aguda, C. Kim, and X. Su, Integrating redox-electrodialysis and electrosorption for the removal of ultra-short- to long-chain PFAS, Nature Communications, 15 (2024), 8321.</t>
  </si>
  <si>
    <t>IL-2022_Lin_CF</t>
  </si>
  <si>
    <t>Development of Testing of a Subsurface Energy Transport Package for MODFLOW</t>
  </si>
  <si>
    <t>Coordination Grant</t>
  </si>
  <si>
    <t>models</t>
  </si>
  <si>
    <t>groundwater</t>
  </si>
  <si>
    <t>Yu-Feng Lin</t>
  </si>
  <si>
    <t>Tool</t>
  </si>
  <si>
    <t>MODFLOW 6: USGS Modular Hydrologic Model (Version 6.5.0).</t>
  </si>
  <si>
    <t>A new groundwater energy transport model for the MODFLOW 6 hydrologic simulator</t>
  </si>
  <si>
    <t>Benchmark MODFLOW 6 GWE model using 1D analytical solution of two-layer Stallman in unsaturated zone</t>
  </si>
  <si>
    <t>IL_2021_Kim</t>
  </si>
  <si>
    <t>Efficacious, recyclable, and low-cost inorganic adsorbent to remove harmful PFAs compounds in aqueous matrics</t>
  </si>
  <si>
    <t>TREATMENT</t>
  </si>
  <si>
    <t>WATER QUALITY</t>
  </si>
  <si>
    <t>Jaemin Kim</t>
  </si>
  <si>
    <t>IL_2021_Tinoco</t>
  </si>
  <si>
    <t>Enemy of My Enemy?: Ecohydraulic Assessment of Interactions of Multiple Invasive Species in the Upper Mississippi River Basin</t>
  </si>
  <si>
    <t>Tinoco Lopez, Rafael Omar</t>
  </si>
  <si>
    <t>You, Hojung (2024). Analysis of the Effects of Coherent Flow Structures on the Transport of Particles Around Submerged Obstacles in Streams. PhD Dissertation, University of Illinois at Urbana-Champaign.</t>
  </si>
  <si>
    <t>You, H. and Tinoco, R.O., 2025. Characterization of porous in‐stream structures to assess their implications on flow dynamics and sediment transport. Journal of Geophysical Research: Earth Surface, 130(3), p.e2024JF007861.</t>
  </si>
  <si>
    <t>IL-2021_Tinoco</t>
  </si>
  <si>
    <t xml:space="preserve">You, H., and Tinoco, R. O. Turbulent coherent flow structures to predict the behavior of particles with low to intermediate Stokes number between submerged obstacles in streams. Water Resources Research, 59 (2023), e2022WR032439. </t>
  </si>
  <si>
    <t>Conference Proceedings Paper (not abstract)</t>
  </si>
  <si>
    <t>You, H., and Tinoco, R. O. Transport and capture of neutrally buoyant particles in streams: Investigating the effect of obstacle configuration. In Proceedings of 39th IAHR World Congress, Granada, Spain, 2022.</t>
  </si>
  <si>
    <t>You, Hojung. Analysis of the Effects of Coherent Flow Structures on the Transport of Particles Around Submerged Obstacles in Streams, PhD Dissertation, University of Illinois Urbana-Champaign.</t>
  </si>
  <si>
    <t>complete but no weblink</t>
  </si>
  <si>
    <t>You H &amp; Tinoco R.O. Transport of fish eggs above submerged obstacles in streams: The effect of egg properties, obstacle submergence ratio and gap length</t>
  </si>
  <si>
    <t>inRevision</t>
  </si>
  <si>
    <t>You, H., &amp; Tinoco, R. O. (2022). Prediction model to compute the capture of drifting particles through in-stream obstacles.</t>
  </si>
  <si>
    <t>IL_2024_Li</t>
  </si>
  <si>
    <t>Enhancing Field-scale Drainage Mapping Through Geospatial Artificial Intelligence</t>
  </si>
  <si>
    <t>Akinde, Fisayo Akindele. (2025). Assessing the Vulnerability of Public Water Systems to Droughts Through Integrated Hydrological Modeling, Remote Sensing, and Social Sensing. Theses no. 3383.</t>
  </si>
  <si>
    <t>IL-2022_Rhoads</t>
  </si>
  <si>
    <t>Evaluating Sources of Fine Sediment to Headwater Streams in Intensively Managed Agricultural Landscapes of Illinois</t>
  </si>
  <si>
    <t>sediments</t>
  </si>
  <si>
    <t>geochemical processes</t>
  </si>
  <si>
    <t>Dr. Bruce Rhoads</t>
  </si>
  <si>
    <t>National Science Foundation</t>
  </si>
  <si>
    <t>Competitive Research Experience for Undergraduates Award</t>
  </si>
  <si>
    <t>April</t>
  </si>
  <si>
    <t>Anne Cooke</t>
  </si>
  <si>
    <t>Student</t>
  </si>
  <si>
    <t>Undergraduate student assisted with field work over the summer in part to try to accomplish project goals in absence of the PhD student whose research was supposed to be supported by project funds</t>
  </si>
  <si>
    <t>IL_2023_Prada</t>
  </si>
  <si>
    <t>Fast and Energy-Efficient Destruction of PFAS Compounds with Piezoelectric Formulations on Aqueous Sorbents (FEED-PFAS)</t>
  </si>
  <si>
    <t>Andres Prada</t>
  </si>
  <si>
    <t xml:space="preserve">Prada AF, Kim J, Zhao L, Li F, Green L, Scott JW (2025) Using piezoelectric mechanochemistry for solvent-free, nonthermal defluorination of perfluoroalkyl substances (PFAS) contained in carbon-based sorbents. RSC Mechanochemistry. </t>
  </si>
  <si>
    <t>IL_2021_Rhoads</t>
  </si>
  <si>
    <t>Floodplain morphology, floodplain inundation, and riparian ecology in the context of the changing hydrology of rivers in Illinois</t>
  </si>
  <si>
    <t>Water-Related Hazards and Climate Variability</t>
  </si>
  <si>
    <t>GEOMORPOLOGICAL PROCESSES</t>
  </si>
  <si>
    <t>FLOODS</t>
  </si>
  <si>
    <t>Bruce Rhoads</t>
  </si>
  <si>
    <t>IL_2022_Parkos</t>
  </si>
  <si>
    <t>Habitat Selection of Juvenile Black Carp and Associated Predatory Effects on Native and Non-native Bivalves</t>
  </si>
  <si>
    <t>Joseph J. Parkos III</t>
  </si>
  <si>
    <t>IL_2023_Taylor</t>
  </si>
  <si>
    <t>Land Use Impacts on Environmental Quality and Aquatic Biodiversity in the Vermillion River Drainage, Illinois</t>
  </si>
  <si>
    <t>Caitlin Bloomer</t>
  </si>
  <si>
    <t>2020IL214B</t>
  </si>
  <si>
    <t>Low Cost Mycelial Stabilization of Coal Combustion Products to Reduce as, and Contamination of Groundwater</t>
  </si>
  <si>
    <t>Linduo Zhao</t>
  </si>
  <si>
    <t>IL-2022_Cáceres</t>
  </si>
  <si>
    <t>Measuring the effect of flood pulses on ecosystem function in lakes created by mining (Kickapoo State Recreation Area)</t>
  </si>
  <si>
    <t>nonpoint pollution</t>
  </si>
  <si>
    <t>Dr. Carla Cáceres</t>
  </si>
  <si>
    <t>Dataset</t>
  </si>
  <si>
    <t>2020IL217B</t>
  </si>
  <si>
    <t>Modeling the Effects of Green Stormwater Infrastructure Implementation on Urban Hydrology and Urban Heat Islands in Illinois</t>
  </si>
  <si>
    <t>Lei Zhao</t>
  </si>
  <si>
    <t>IL_2022_Lampert_G</t>
  </si>
  <si>
    <t>PFAS Transport from Contaminated Areas to Surface Waters</t>
  </si>
  <si>
    <t>104g - PFAS</t>
  </si>
  <si>
    <t>solute transport</t>
  </si>
  <si>
    <t>Tekogul, I., Lampert, D.J., Mohammadi, F., Sandhu, A., and Shapiro, M., The regulatory void in PFAS cleanup and remediation. Journal of Contemporary Water Research and Education, 182:99-114.</t>
  </si>
  <si>
    <t>Grant</t>
  </si>
  <si>
    <t>NOAA/Illinois Indiana Sea Grant</t>
  </si>
  <si>
    <t>Lampert, D.J., Sandhu, A., and Shapiro, M. “Bioaccumulation assessment of PFAS from contaminated sediments.” National Oceanic and Atmospheric Administration, Illinois-Indiana Sea Grant Biennial Research Program.</t>
  </si>
  <si>
    <t>October</t>
  </si>
  <si>
    <t>PI</t>
  </si>
  <si>
    <t>Mohammadi, F., Zahner, A., Sandhu, A., and Lampert, D.J. Analysis of per-polyfluoroalkyl substances (PFAS) in biological, aqueous, and sediment samples. Submitted to Environmental Management.</t>
  </si>
  <si>
    <t>submitted/inReview</t>
  </si>
  <si>
    <t>IL-2022_Lampert_G</t>
  </si>
  <si>
    <t>Manwatkar, Prashik. Per- and Polyfluoroalkyl Substances Fate and Transport in Sediments, Sand, and Adsorbent Media, Thesis, Illinois Institute of Technology.</t>
  </si>
  <si>
    <t>IL_2022_Tartakovsky</t>
  </si>
  <si>
    <t>Physics-Informed Machine Learning for Parameter Estimation and Surrogate Modeling</t>
  </si>
  <si>
    <t>Alex Tartakovsky</t>
  </si>
  <si>
    <t>Yuanzhe Wang, Yifei Zong, James L. McCreight, Joseph D. Hughes, Michael Fienen, Alexandre M. Tartakovsky, Karhunen–Loève deep learning method for surrogate modeling and approximate Bayesian parameter estimation, Advances in Water Resources, Volume 203, 105024.</t>
  </si>
  <si>
    <t>Yuanzhe Wang, James L. McCreight, Joseph D. Hughes, and Alexandre M. Tartakovsky. Total uncertainty quantification in inverse solutions with deep learning surrogate models. Journal of Computational Physics, 541:114315, 2025</t>
  </si>
  <si>
    <t>Jice Zeng, Yuanzhe Wang, Alexandre M. Tartakovsky, and David A. Barajas-Solano. Solving high-dimensional inverse problems using amortized likelihood-free inference with noisy and incomplete data. Computer Methods in Applied Mechanics and Engineering, 443:118064, 2025.</t>
  </si>
  <si>
    <t>IL-2022_Tartakovsky</t>
  </si>
  <si>
    <t>Yifei Zonga, QiZhi He, and Alexandre M. Tartakovsky. Improved training of physics-informed neural networks for parabolic differential equations with sharply perturbed initial conditions, Computer Methods in Applied Mechanics and Engineering, 414 (2023), 116125.</t>
  </si>
  <si>
    <t xml:space="preserve">Yu-Hong Yeung, David A. Barajas-Solano, and Alexandre M. Tartakovsky. Gaussian process regression and conditional Karhunen-Loève models for data assimilation in inverse problems. Journal of Computational Physics, 502 (2024), 112788. </t>
  </si>
  <si>
    <t xml:space="preserve">Yuanzhe Wang, Yifei Zong, James L. McCreight, Joseph D. Hughes, and Alexandre M. Tartakovsky. Bayesian reduced-order deep learning surrogate model for dynamic systems described by partial differential equations. Computer Methods in Applied Mechanics and Engineering, 429 (2024), 117147. </t>
  </si>
  <si>
    <t>Physics-Informed Neural Network (PINN) code for parameter estimation in groundwater models using pressure and tracer concentration measurements.</t>
  </si>
  <si>
    <t>CKLEMAP code for parameter estimation in large-scale groundwater models based on the reduced-order conditional Karhunen–Loève representation of parameter fields.</t>
  </si>
  <si>
    <t xml:space="preserve">KL-DNN code for surrogate modeling and parameter estimation in groundwater models, based on the reduced-order Karhunen–Loève representation of parameter and hydraulic head fields and a deep neural network map between the reduced spaces of parameters (e.g., conductivity) and hydraulic head </t>
  </si>
  <si>
    <t>Tartakovsky, A., Wang, Y., McCreight, J., Hughes, J., Fienen, M. Karhunen-Loeve–Deep Neural Network surrogate models for forward modeling and parameter estimation in groundwater models.</t>
  </si>
  <si>
    <t>IL_2024_Stillwell</t>
  </si>
  <si>
    <t>Quantifying Virtual Water Transfers from Hydropower Generation under Climate Variability</t>
  </si>
  <si>
    <t>management and planning</t>
  </si>
  <si>
    <t>Nugent, Jennifer Cathryn. (2025). Spatial and Temporal Variation in Virtual Water Transfers on the U.S. Electric Grid. Ph.D. dissertation. University of Illinois Urbana-Champaign.</t>
  </si>
  <si>
    <t>Nugent, Jenni, Aaron Leshuk-Morita, and Ashlynn S. Stillwell. (2025). Historical drought impacts on hydroelectric generation and virtual water transfers. In preparation.</t>
  </si>
  <si>
    <t>IL_2021_Meyer</t>
  </si>
  <si>
    <t>Regenerative Agriculture and the Human Health Nexus in the age of Climate Change</t>
  </si>
  <si>
    <t>AGRICULTURE</t>
  </si>
  <si>
    <t>EDUCATION</t>
  </si>
  <si>
    <t>METHODS</t>
  </si>
  <si>
    <t>Erin Meyer</t>
  </si>
  <si>
    <t>Davendra Ramkumar, Aileen Marty, Japhia Ramkumar, Holly Rosencranz, Radhika Vedantham, Modan Goldman, Erin Meyer, Jasia Steinmetz, Amy Weckle, Kelly Bloedorn, and Carl Rosier. Food for thought: Making the case for food produced via regenerative agriculture in the battle against non-communicable chronic diseases (NCDs). One Health, 18 (2024), 100734.</t>
  </si>
  <si>
    <t>2020IL215B</t>
  </si>
  <si>
    <t>Towards Better Agricultural Drought Assessment and Irrigation Management: Improving the Simulation and Understanding of Plant Water Stress for Crops in Noah-MP Surface Model</t>
  </si>
  <si>
    <t xml:space="preserve">Kaiyu Guan </t>
  </si>
  <si>
    <t>IL_2021_Wang</t>
  </si>
  <si>
    <t>Triboelectric devices for water motion energy harvesting and self-powered sensing</t>
  </si>
  <si>
    <t>Yi-Cheng Wang</t>
  </si>
  <si>
    <t>Zhenhui Jin, Fujunzhu Zhao, Yanlin Lei, Yi-Cheng Wang, Hydrogel-based triboelectric devices for energy-harvesting and wearable sensing applications, Nano Energy, 95, 2022, 106988.</t>
  </si>
  <si>
    <t>IL_2024_Sloan</t>
  </si>
  <si>
    <t>Using Continuous Water Quality Monitoring Combined with Stratified Sampling to Assess the Presence of Emerging Contaminants in the Upper Illinois River</t>
  </si>
  <si>
    <t>wetlands</t>
  </si>
  <si>
    <t>John J Sloan</t>
  </si>
  <si>
    <t>National Great Rivers Research &amp; Education Center</t>
  </si>
  <si>
    <t>2020IL218B</t>
  </si>
  <si>
    <t>Utilizing a Tracer Test to Calculate the Transport and Fate of Nitrate Withing a Saturated Budder Zone</t>
  </si>
  <si>
    <t>NITRATE CONTAMINATION</t>
  </si>
  <si>
    <t>Eric Wade Peterson</t>
  </si>
  <si>
    <t>Illinois State University</t>
  </si>
  <si>
    <t>One of 11 research awards from the university-wide Undergraduate Research Support Program (URSP)</t>
  </si>
  <si>
    <t>Joe Hoberg</t>
  </si>
  <si>
    <t>Achievement</t>
  </si>
  <si>
    <t>Recognition in the category of Outstanding Research Promise as the top first year graduate student (2021).</t>
  </si>
  <si>
    <t>Alhassan Sahad</t>
  </si>
  <si>
    <t>2020IL103AIS</t>
  </si>
  <si>
    <t>Water Quality as a Deterrent to the Movement of Invasive Fishes in the Illinois Waterway: Implications for the Upper Mississippi Basin</t>
  </si>
  <si>
    <t>Cory Suski</t>
  </si>
  <si>
    <t>Schneider, A. E., A. J. Bennett, C. E. Dennis III, A. J. Esbaugh, J. T. Lamer and C. D. Suski. (provisionally accepted).  Acute exposure to water from the Chicago Area Waterway System induces molecular indices of stress and disturbance in silver carp: Implications for deterrence to range expansion. Biological Invasions (2025) 27:178.</t>
  </si>
  <si>
    <t>University of Illinois Urbana-Champaign Department of Natural Resources and Environmental Sciences</t>
  </si>
  <si>
    <t>Graduate student award for research excellence</t>
  </si>
  <si>
    <t>Amy Schneider</t>
  </si>
  <si>
    <t>Amy is a graduate student solely supported through this 104(g) award.</t>
  </si>
  <si>
    <t>Suski, Cory. Fish behavior and metabolism. GitHub code.</t>
  </si>
  <si>
    <t>Best Student Poster Presentation</t>
  </si>
  <si>
    <t>February</t>
  </si>
  <si>
    <t>Award for presentation of research related to this 104(g) project</t>
  </si>
  <si>
    <t>Suski, Cory. Histology and visual assessment. GitHub code.</t>
  </si>
  <si>
    <t>American Academy for the Advancement of Science</t>
  </si>
  <si>
    <t>Elected Fellow recognizing excellence in research with an emphasis on barriers controlling the spread of invasive species</t>
  </si>
  <si>
    <t>Suski, Cory. Gene expression. GitHub code.</t>
  </si>
  <si>
    <t>Amy E. Schneider, A. J. Esbaugh, Aaron R. Cupp, and C. D. Suski. Silver carp experience metabolic and behavioral changes when exposed to water from the Chicago Area Waterway. Scientific Reports, 14 (2024), 24689.</t>
  </si>
  <si>
    <t>Illinois Muskie Tournament Trail Fishery Scholarship</t>
  </si>
  <si>
    <t>Awarded to undergraduate or graduate students studying fisheries</t>
  </si>
  <si>
    <t>December</t>
  </si>
  <si>
    <t xml:space="preserve">Schneider, Amy, and Suski, Cory. Dataset: Molecular and physical disturbance of silver carp along the Illinois River gradient. University of Illinois at Urbana-Champaign. </t>
  </si>
  <si>
    <t>Illinois AFS</t>
  </si>
  <si>
    <t>Larimore Student Research Grant</t>
  </si>
  <si>
    <t>For graduate students attending an Illinois college or university to promote research in Illinois fisheries</t>
  </si>
  <si>
    <t>Schneider, Amy, and Suski, Cory. Dataset: Acute exposure to water from the Chicago Area Waterway System induces molecular indices of stress and disturbance in silver carp: Implications for deterrence to range expansion. University of Illinois at Urbana-Champaign.</t>
  </si>
  <si>
    <t>UIUC Department of Natural Resources and Environmental Sciences</t>
  </si>
  <si>
    <t>NRES Graduate Research Improvement Grant</t>
  </si>
  <si>
    <t>For outstanding UIUC NRES graduate students conducting research in the department</t>
  </si>
  <si>
    <t>Schneider, Amy, Suski, Cory, and Esbaugh, Andrew. Dataset: Silver carp experience metabolic and behavioral changes when exposed to water from the Chicago Area Waterway: Implications for upstream movement. University of Illinois at Urbana-Champaign.</t>
  </si>
  <si>
    <t>Illinois AFS Travel Grant</t>
  </si>
  <si>
    <t>For graduate students attending an Illinois college or university to help provide travel to the Illinois AFS conference</t>
  </si>
  <si>
    <t>USGS</t>
  </si>
  <si>
    <t>USEPA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</si>
</sst>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 x14ac:knownFonts="1">
    <font>
      <sz val="11"/>
      <color theme="1"/>
      <name val="Aptos Narrow"/>
      <family val="2"/>
      <scheme val="minor"/>
    </font>
    <font>
      <b/>
      <sz val="11"/>
      <color theme="1"/>
      <name val="Aptos Narrow"/>
      <family val="2"/>
      <scheme val="minor"/>
    </font>
  </fonts>
  <fills count="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s>
  <borders count="6">
    <border>
      <left/>
      <right/>
      <top/>
      <bottom/>
      <diagonal/>
    </border>
    <border>
      <left style="thin">
        <color indexed="64"/>
      </left>
      <right style="thin">
        <color indexed="64"/>
      </right>
      <top/>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bottom style="medium">
        <color indexed="64"/>
      </bottom>
      <diagonal/>
    </border>
    <border>
      <left/>
      <right/>
      <top style="thick">
        <color auto="1"/>
      </top>
      <bottom/>
      <diagonal/>
    </border>
  </borders>
  <cellStyleXfs count="1">
    <xf numFmtId="0" fontId="0" fillId="0" borderId="0"/>
  </cellStyleXfs>
  <cellXfs count="35">
    <xf numFmtId="0" fontId="0" fillId="0" borderId="0" xfId="0"/>
    <xf numFmtId="0" fontId="1" fillId="0" borderId="1" xfId="0" applyFont="1" applyBorder="1" applyAlignment="1">
      <alignment horizontal="center" vertical="center" wrapText="1"/>
    </xf>
    <xf numFmtId="164" fontId="1" fillId="0" borderId="1" xfId="0" applyNumberFormat="1" applyFont="1" applyBorder="1" applyAlignment="1">
      <alignment horizontal="center" vertical="center" wrapText="1"/>
    </xf>
    <xf numFmtId="49" fontId="1" fillId="0" borderId="1" xfId="0" applyNumberFormat="1" applyFont="1" applyBorder="1" applyAlignment="1">
      <alignment horizontal="center" vertical="center" wrapText="1"/>
    </xf>
    <xf numFmtId="0" fontId="0" fillId="2" borderId="2" xfId="0" applyFill="1" applyBorder="1" applyAlignment="1">
      <alignment horizontal="left" vertical="top" wrapText="1"/>
    </xf>
    <xf numFmtId="164" fontId="0" fillId="2" borderId="2" xfId="0" applyNumberFormat="1" applyFill="1" applyBorder="1" applyAlignment="1">
      <alignment horizontal="left" vertical="top" wrapText="1"/>
    </xf>
    <xf numFmtId="0" fontId="0" fillId="3" borderId="2" xfId="0" applyFill="1" applyBorder="1" applyAlignment="1">
      <alignment horizontal="left" vertical="top" wrapText="1"/>
    </xf>
    <xf numFmtId="164" fontId="0" fillId="3" borderId="2" xfId="0" applyNumberFormat="1" applyFill="1" applyBorder="1" applyAlignment="1">
      <alignment horizontal="left" vertical="top" wrapText="1"/>
    </xf>
    <xf numFmtId="0" fontId="0" fillId="4" borderId="2" xfId="0" applyFill="1" applyBorder="1" applyAlignment="1">
      <alignment horizontal="left" vertical="top" wrapText="1"/>
    </xf>
    <xf numFmtId="164" fontId="0" fillId="4" borderId="2" xfId="0" applyNumberFormat="1" applyFill="1" applyBorder="1" applyAlignment="1">
      <alignment horizontal="left" vertical="top" wrapText="1"/>
    </xf>
    <xf numFmtId="0" fontId="0" fillId="5" borderId="2" xfId="0" applyFill="1" applyBorder="1" applyAlignment="1">
      <alignment horizontal="left" vertical="top" wrapText="1"/>
    </xf>
    <xf numFmtId="164" fontId="0" fillId="5" borderId="2" xfId="0" applyNumberFormat="1" applyFill="1" applyBorder="1" applyAlignment="1">
      <alignment horizontal="left" vertical="top" wrapText="1"/>
    </xf>
    <xf numFmtId="0" fontId="0" fillId="5" borderId="1" xfId="0" applyFill="1" applyBorder="1" applyAlignment="1">
      <alignment horizontal="left" vertical="top" wrapText="1"/>
    </xf>
    <xf numFmtId="164" fontId="0" fillId="5" borderId="1" xfId="0" applyNumberFormat="1" applyFill="1" applyBorder="1" applyAlignment="1">
      <alignment horizontal="left" vertical="top" wrapText="1"/>
    </xf>
    <xf numFmtId="0" fontId="0" fillId="6" borderId="2" xfId="0" applyFill="1" applyBorder="1" applyAlignment="1">
      <alignment horizontal="left" vertical="top" wrapText="1"/>
    </xf>
    <xf numFmtId="164" fontId="0" fillId="6" borderId="2" xfId="0" applyNumberFormat="1" applyFill="1" applyBorder="1" applyAlignment="1">
      <alignment horizontal="left" vertical="top" wrapText="1"/>
    </xf>
    <xf numFmtId="0" fontId="0" fillId="7" borderId="2" xfId="0" applyFill="1" applyBorder="1" applyAlignment="1">
      <alignment horizontal="left" vertical="top" wrapText="1"/>
    </xf>
    <xf numFmtId="164" fontId="0" fillId="7" borderId="2" xfId="0" applyNumberFormat="1" applyFill="1" applyBorder="1" applyAlignment="1">
      <alignment horizontal="left" vertical="top" wrapText="1"/>
    </xf>
    <xf numFmtId="0" fontId="0" fillId="7" borderId="1" xfId="0" applyFill="1" applyBorder="1" applyAlignment="1">
      <alignment horizontal="left" vertical="top" wrapText="1"/>
    </xf>
    <xf numFmtId="164" fontId="0" fillId="7" borderId="1" xfId="0" applyNumberFormat="1" applyFill="1" applyBorder="1" applyAlignment="1">
      <alignment horizontal="left" vertical="top" wrapText="1"/>
    </xf>
    <xf numFmtId="0" fontId="0" fillId="7" borderId="3" xfId="0" applyFill="1" applyBorder="1" applyAlignment="1">
      <alignment horizontal="left" vertical="top" wrapText="1"/>
    </xf>
    <xf numFmtId="164" fontId="0" fillId="7" borderId="3" xfId="0" applyNumberFormat="1" applyFill="1" applyBorder="1" applyAlignment="1">
      <alignment horizontal="left" vertical="top" wrapText="1"/>
    </xf>
    <xf numFmtId="0" fontId="0" fillId="2" borderId="1" xfId="0" applyFill="1" applyBorder="1" applyAlignment="1">
      <alignment horizontal="left" vertical="top" wrapText="1"/>
    </xf>
    <xf numFmtId="164" fontId="0" fillId="2" borderId="1" xfId="0" applyNumberFormat="1" applyFill="1" applyBorder="1" applyAlignment="1">
      <alignment horizontal="left" vertical="top" wrapText="1"/>
    </xf>
    <xf numFmtId="0" fontId="0" fillId="4" borderId="3" xfId="0" applyFill="1" applyBorder="1" applyAlignment="1">
      <alignment horizontal="left" vertical="top" wrapText="1"/>
    </xf>
    <xf numFmtId="164" fontId="0" fillId="4" borderId="3" xfId="0" applyNumberFormat="1" applyFill="1" applyBorder="1" applyAlignment="1">
      <alignment horizontal="left" vertical="top" wrapText="1"/>
    </xf>
    <xf numFmtId="0" fontId="0" fillId="5" borderId="4" xfId="0" applyFill="1" applyBorder="1" applyAlignment="1">
      <alignment horizontal="left" vertical="top" wrapText="1"/>
    </xf>
    <xf numFmtId="164" fontId="0" fillId="5" borderId="4" xfId="0" applyNumberFormat="1" applyFill="1" applyBorder="1" applyAlignment="1">
      <alignment horizontal="left" vertical="top" wrapText="1"/>
    </xf>
    <xf numFmtId="0" fontId="0" fillId="3" borderId="1" xfId="0" applyFill="1" applyBorder="1" applyAlignment="1">
      <alignment horizontal="left" vertical="top" wrapText="1"/>
    </xf>
    <xf numFmtId="164" fontId="0" fillId="3" borderId="1" xfId="0" applyNumberFormat="1" applyFill="1" applyBorder="1" applyAlignment="1">
      <alignment horizontal="left" vertical="top" wrapText="1"/>
    </xf>
    <xf numFmtId="0" fontId="0" fillId="5" borderId="3" xfId="0" applyFill="1" applyBorder="1" applyAlignment="1">
      <alignment horizontal="left" vertical="top" wrapText="1"/>
    </xf>
    <xf numFmtId="164" fontId="0" fillId="5" borderId="3" xfId="0" applyNumberFormat="1" applyFill="1" applyBorder="1" applyAlignment="1">
      <alignment horizontal="left" vertical="top" wrapText="1"/>
    </xf>
    <xf numFmtId="0" fontId="0" fillId="6" borderId="1" xfId="0" applyFill="1" applyBorder="1" applyAlignment="1">
      <alignment horizontal="left" vertical="top" wrapText="1"/>
    </xf>
    <xf numFmtId="164" fontId="0" fillId="6" borderId="1" xfId="0" applyNumberFormat="1" applyFill="1" applyBorder="1" applyAlignment="1">
      <alignment horizontal="left" vertical="top" wrapText="1"/>
    </xf>
    <xf numFmtId="0" fontId="0" fillId="0" borderId="5" xfId="0" applyBorder="1"/>
  </cellXfs>
  <cellStyles count="1">
    <cellStyle name="Normal" xfId="0" builtinId="0"/>
  </cellStyles>
  <dxfs count="2">
    <dxf>
      <font>
        <color rgb="FFC00000"/>
      </font>
      <border>
        <vertical/>
        <horizontal/>
      </border>
    </dxf>
    <dxf>
      <font>
        <color rgb="FFC00000"/>
      </font>
      <border>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66F19-B46A-4E69-A613-FE882F1044E4}">
  <dimension ref="A1:R32"/>
  <sheetViews>
    <sheetView workbookViewId="0">
      <pane xSplit="2" ySplit="1" topLeftCell="C2" activePane="bottomRight" state="frozen"/>
      <selection pane="topRight" activeCell="C1" sqref="C1"/>
      <selection pane="bottomLeft" activeCell="A2" sqref="A2"/>
      <selection pane="bottomRight" activeCell="D6" sqref="D6"/>
    </sheetView>
  </sheetViews>
  <sheetFormatPr defaultRowHeight="15" x14ac:dyDescent="0.25"/>
  <cols>
    <col min="1" max="1" width="7.28515625" customWidth="1"/>
    <col min="2" max="2" width="21.42578125" customWidth="1"/>
    <col min="3" max="3" width="36.7109375" customWidth="1"/>
    <col min="4" max="4" width="19.140625" customWidth="1"/>
    <col min="5" max="5" width="14.7109375" customWidth="1"/>
    <col min="6" max="6" width="17" customWidth="1"/>
    <col min="7" max="9" width="19.42578125" customWidth="1"/>
    <col min="10" max="10" width="18.42578125" customWidth="1"/>
    <col min="11" max="11" width="26" customWidth="1"/>
    <col min="12" max="16" width="15.42578125" customWidth="1"/>
    <col min="17" max="17" width="9.7109375" customWidth="1"/>
    <col min="18" max="18" width="7.28515625" customWidth="1"/>
  </cols>
  <sheetData>
    <row r="1" spans="1:18" ht="75.75" thickBot="1" x14ac:dyDescent="0.3">
      <c r="A1" s="1" t="s">
        <v>0</v>
      </c>
      <c r="B1" s="1" t="s">
        <v>1</v>
      </c>
      <c r="C1" s="1" t="s">
        <v>2</v>
      </c>
      <c r="D1" s="1" t="s">
        <v>3</v>
      </c>
      <c r="E1" s="2" t="s">
        <v>4</v>
      </c>
      <c r="F1" s="1" t="s">
        <v>5</v>
      </c>
      <c r="G1" s="1" t="s">
        <v>6</v>
      </c>
      <c r="H1" s="1" t="s">
        <v>7</v>
      </c>
      <c r="I1" s="1" t="s">
        <v>8</v>
      </c>
      <c r="J1" s="1" t="s">
        <v>9</v>
      </c>
      <c r="K1" s="1" t="s">
        <v>10</v>
      </c>
      <c r="L1" s="1" t="s">
        <v>11</v>
      </c>
      <c r="M1" s="1" t="s">
        <v>12</v>
      </c>
      <c r="N1" s="1" t="s">
        <v>13</v>
      </c>
      <c r="O1" s="1" t="s">
        <v>14</v>
      </c>
      <c r="P1" s="1" t="s">
        <v>15</v>
      </c>
      <c r="Q1" s="1" t="s">
        <v>32</v>
      </c>
      <c r="R1" s="1" t="s">
        <v>33</v>
      </c>
    </row>
    <row r="2" spans="1:18" ht="61.5" thickTop="1" thickBot="1" x14ac:dyDescent="0.3">
      <c r="A2" s="4">
        <v>1</v>
      </c>
      <c r="B2" s="4" t="s">
        <v>34</v>
      </c>
      <c r="C2" s="4" t="s">
        <v>35</v>
      </c>
      <c r="D2" s="4" t="s">
        <v>36</v>
      </c>
      <c r="E2" s="5">
        <v>10000</v>
      </c>
      <c r="F2" s="4" t="s">
        <v>37</v>
      </c>
      <c r="G2" s="4" t="s">
        <v>38</v>
      </c>
      <c r="H2" s="4" t="s">
        <v>39</v>
      </c>
      <c r="I2" s="4" t="s">
        <v>40</v>
      </c>
      <c r="J2" s="4" t="s">
        <v>41</v>
      </c>
      <c r="K2" s="4" t="s">
        <v>42</v>
      </c>
      <c r="L2" s="4">
        <v>0</v>
      </c>
      <c r="M2" s="4">
        <v>0</v>
      </c>
      <c r="N2" s="4">
        <v>1</v>
      </c>
      <c r="O2" s="4">
        <v>0</v>
      </c>
      <c r="P2" s="4">
        <v>0</v>
      </c>
      <c r="Q2" s="4">
        <v>1</v>
      </c>
      <c r="R2" s="4">
        <v>1</v>
      </c>
    </row>
    <row r="3" spans="1:18" ht="46.5" thickTop="1" thickBot="1" x14ac:dyDescent="0.3">
      <c r="A3" s="6">
        <v>2</v>
      </c>
      <c r="B3" s="6" t="s">
        <v>43</v>
      </c>
      <c r="C3" s="6" t="s">
        <v>44</v>
      </c>
      <c r="D3" s="6" t="s">
        <v>36</v>
      </c>
      <c r="E3" s="7">
        <v>10000</v>
      </c>
      <c r="F3" s="6" t="s">
        <v>45</v>
      </c>
      <c r="G3" s="6" t="s">
        <v>46</v>
      </c>
      <c r="H3" s="6" t="s">
        <v>47</v>
      </c>
      <c r="I3" s="6" t="s">
        <v>48</v>
      </c>
      <c r="J3" s="6" t="s">
        <v>49</v>
      </c>
      <c r="K3" s="6" t="s">
        <v>50</v>
      </c>
      <c r="L3" s="6">
        <v>1</v>
      </c>
      <c r="M3" s="6">
        <v>0</v>
      </c>
      <c r="N3" s="6">
        <v>1</v>
      </c>
      <c r="O3" s="6">
        <v>0</v>
      </c>
      <c r="P3" s="6">
        <v>2</v>
      </c>
      <c r="Q3" s="6">
        <v>14</v>
      </c>
      <c r="R3" s="6">
        <v>2</v>
      </c>
    </row>
    <row r="4" spans="1:18" ht="76.5" thickTop="1" thickBot="1" x14ac:dyDescent="0.3">
      <c r="A4" s="8">
        <v>3</v>
      </c>
      <c r="B4" s="8" t="s">
        <v>51</v>
      </c>
      <c r="C4" s="8" t="s">
        <v>52</v>
      </c>
      <c r="D4" s="8" t="s">
        <v>36</v>
      </c>
      <c r="E4" s="9">
        <v>20000</v>
      </c>
      <c r="F4" s="8" t="s">
        <v>53</v>
      </c>
      <c r="G4" s="8" t="s">
        <v>54</v>
      </c>
      <c r="H4" s="8" t="s">
        <v>55</v>
      </c>
      <c r="I4" s="8" t="s">
        <v>56</v>
      </c>
      <c r="J4" s="8" t="s">
        <v>57</v>
      </c>
      <c r="K4" s="8" t="s">
        <v>58</v>
      </c>
      <c r="L4" s="8">
        <v>1</v>
      </c>
      <c r="M4" s="8">
        <v>0</v>
      </c>
      <c r="N4" s="8">
        <v>2</v>
      </c>
      <c r="O4" s="8">
        <v>0</v>
      </c>
      <c r="P4" s="8">
        <v>0</v>
      </c>
      <c r="Q4" s="8">
        <v>12</v>
      </c>
      <c r="R4" s="8">
        <v>3</v>
      </c>
    </row>
    <row r="5" spans="1:18" ht="31.5" thickTop="1" thickBot="1" x14ac:dyDescent="0.3">
      <c r="A5" s="10">
        <v>4</v>
      </c>
      <c r="B5" s="10" t="s">
        <v>61</v>
      </c>
      <c r="C5" s="10" t="s">
        <v>62</v>
      </c>
      <c r="D5" s="10" t="s">
        <v>36</v>
      </c>
      <c r="E5" s="11">
        <v>10000</v>
      </c>
      <c r="F5" s="10" t="s">
        <v>63</v>
      </c>
      <c r="G5" s="10" t="s">
        <v>64</v>
      </c>
      <c r="H5" s="10" t="s">
        <v>65</v>
      </c>
      <c r="I5" s="10" t="s">
        <v>66</v>
      </c>
      <c r="J5" s="10" t="s">
        <v>67</v>
      </c>
      <c r="K5" s="10"/>
      <c r="L5" s="10">
        <v>1</v>
      </c>
      <c r="M5" s="10">
        <v>1</v>
      </c>
      <c r="N5" s="10">
        <v>0</v>
      </c>
      <c r="O5" s="10">
        <v>0</v>
      </c>
      <c r="P5" s="10">
        <v>0</v>
      </c>
      <c r="Q5" s="10">
        <v>6</v>
      </c>
      <c r="R5" s="10">
        <v>4</v>
      </c>
    </row>
    <row r="6" spans="1:18" ht="61.5" thickTop="1" thickBot="1" x14ac:dyDescent="0.3">
      <c r="A6" s="14">
        <v>5</v>
      </c>
      <c r="B6" s="14" t="s">
        <v>73</v>
      </c>
      <c r="C6" s="14" t="s">
        <v>74</v>
      </c>
      <c r="D6" s="14" t="s">
        <v>36</v>
      </c>
      <c r="E6" s="15">
        <v>15000</v>
      </c>
      <c r="F6" s="14" t="s">
        <v>63</v>
      </c>
      <c r="G6" s="14" t="s">
        <v>75</v>
      </c>
      <c r="H6" s="14" t="s">
        <v>76</v>
      </c>
      <c r="I6" s="14" t="s">
        <v>77</v>
      </c>
      <c r="J6" s="14" t="s">
        <v>78</v>
      </c>
      <c r="K6" s="14" t="s">
        <v>79</v>
      </c>
      <c r="L6" s="14">
        <v>0</v>
      </c>
      <c r="M6" s="14">
        <v>1</v>
      </c>
      <c r="N6" s="14">
        <v>0</v>
      </c>
      <c r="O6" s="14">
        <v>0</v>
      </c>
      <c r="P6" s="14">
        <v>1</v>
      </c>
      <c r="Q6" s="14">
        <v>39</v>
      </c>
      <c r="R6" s="14">
        <v>5</v>
      </c>
    </row>
    <row r="7" spans="1:18" ht="46.5" thickTop="1" thickBot="1" x14ac:dyDescent="0.3">
      <c r="A7" s="16">
        <v>6</v>
      </c>
      <c r="B7" s="16" t="s">
        <v>81</v>
      </c>
      <c r="C7" s="16" t="s">
        <v>82</v>
      </c>
      <c r="D7" s="16" t="s">
        <v>83</v>
      </c>
      <c r="E7" s="17">
        <v>300000</v>
      </c>
      <c r="F7" s="16" t="s">
        <v>84</v>
      </c>
      <c r="G7" s="16" t="s">
        <v>85</v>
      </c>
      <c r="H7" s="16" t="s">
        <v>86</v>
      </c>
      <c r="I7" s="16" t="s">
        <v>48</v>
      </c>
      <c r="J7" s="16" t="s">
        <v>87</v>
      </c>
      <c r="K7" s="16" t="s">
        <v>88</v>
      </c>
      <c r="L7" s="16">
        <v>7</v>
      </c>
      <c r="M7" s="16">
        <v>0</v>
      </c>
      <c r="N7" s="16">
        <v>1</v>
      </c>
      <c r="O7" s="16">
        <v>1</v>
      </c>
      <c r="P7" s="16">
        <v>1</v>
      </c>
      <c r="Q7" s="16">
        <v>47</v>
      </c>
      <c r="R7" s="16">
        <v>7</v>
      </c>
    </row>
    <row r="8" spans="1:18" ht="31.5" thickTop="1" thickBot="1" x14ac:dyDescent="0.3">
      <c r="A8" s="4">
        <v>7</v>
      </c>
      <c r="B8" s="4" t="s">
        <v>94</v>
      </c>
      <c r="C8" s="4" t="s">
        <v>95</v>
      </c>
      <c r="D8" s="4" t="s">
        <v>36</v>
      </c>
      <c r="E8" s="5">
        <v>10000</v>
      </c>
      <c r="F8" s="4" t="s">
        <v>53</v>
      </c>
      <c r="G8" s="4" t="s">
        <v>96</v>
      </c>
      <c r="H8" s="4" t="s">
        <v>97</v>
      </c>
      <c r="I8" s="4" t="s">
        <v>98</v>
      </c>
      <c r="J8" s="4" t="s">
        <v>99</v>
      </c>
      <c r="K8" s="4"/>
      <c r="L8" s="4">
        <v>0</v>
      </c>
      <c r="M8" s="4">
        <v>1</v>
      </c>
      <c r="N8" s="4">
        <v>1</v>
      </c>
      <c r="O8" s="4">
        <v>0</v>
      </c>
      <c r="P8" s="4">
        <v>0</v>
      </c>
      <c r="Q8" s="4">
        <v>10</v>
      </c>
      <c r="R8" s="4">
        <v>10</v>
      </c>
    </row>
    <row r="9" spans="1:18" ht="61.5" thickTop="1" thickBot="1" x14ac:dyDescent="0.3">
      <c r="A9" s="6">
        <v>8</v>
      </c>
      <c r="B9" s="6" t="s">
        <v>105</v>
      </c>
      <c r="C9" s="6" t="s">
        <v>106</v>
      </c>
      <c r="D9" s="6" t="s">
        <v>36</v>
      </c>
      <c r="E9" s="7">
        <v>15000</v>
      </c>
      <c r="F9" s="6" t="s">
        <v>107</v>
      </c>
      <c r="G9" s="6" t="s">
        <v>108</v>
      </c>
      <c r="H9" s="6" t="s">
        <v>54</v>
      </c>
      <c r="I9" s="6" t="s">
        <v>109</v>
      </c>
      <c r="J9" s="6" t="s">
        <v>110</v>
      </c>
      <c r="K9" s="6" t="s">
        <v>111</v>
      </c>
      <c r="L9" s="6">
        <v>1</v>
      </c>
      <c r="M9" s="6">
        <v>1</v>
      </c>
      <c r="N9" s="6">
        <v>0</v>
      </c>
      <c r="O9" s="6">
        <v>0</v>
      </c>
      <c r="P9" s="6">
        <v>0</v>
      </c>
      <c r="Q9" s="6">
        <v>41</v>
      </c>
      <c r="R9" s="6">
        <v>11</v>
      </c>
    </row>
    <row r="10" spans="1:18" ht="46.5" thickTop="1" thickBot="1" x14ac:dyDescent="0.3">
      <c r="A10" s="8">
        <v>9</v>
      </c>
      <c r="B10" s="8" t="s">
        <v>112</v>
      </c>
      <c r="C10" s="8" t="s">
        <v>113</v>
      </c>
      <c r="D10" s="8" t="s">
        <v>36</v>
      </c>
      <c r="E10" s="9">
        <v>15000</v>
      </c>
      <c r="F10" s="8" t="s">
        <v>114</v>
      </c>
      <c r="G10" s="8" t="s">
        <v>108</v>
      </c>
      <c r="H10" s="8" t="s">
        <v>115</v>
      </c>
      <c r="I10" s="8" t="s">
        <v>116</v>
      </c>
      <c r="J10" s="8" t="s">
        <v>117</v>
      </c>
      <c r="K10" s="8" t="s">
        <v>88</v>
      </c>
      <c r="L10" s="8">
        <v>0</v>
      </c>
      <c r="M10" s="8">
        <v>0</v>
      </c>
      <c r="N10" s="8">
        <v>1</v>
      </c>
      <c r="O10" s="8">
        <v>0</v>
      </c>
      <c r="P10" s="8">
        <v>1</v>
      </c>
      <c r="Q10" s="8">
        <v>38</v>
      </c>
      <c r="R10" s="8">
        <v>12</v>
      </c>
    </row>
    <row r="11" spans="1:18" ht="46.5" thickTop="1" thickBot="1" x14ac:dyDescent="0.3">
      <c r="A11" s="10">
        <v>10</v>
      </c>
      <c r="B11" s="10" t="s">
        <v>125</v>
      </c>
      <c r="C11" s="10" t="s">
        <v>126</v>
      </c>
      <c r="D11" s="10" t="s">
        <v>127</v>
      </c>
      <c r="E11" s="11">
        <v>200000</v>
      </c>
      <c r="F11" s="10" t="s">
        <v>45</v>
      </c>
      <c r="G11" s="10" t="s">
        <v>128</v>
      </c>
      <c r="H11" s="10" t="s">
        <v>129</v>
      </c>
      <c r="I11" s="10" t="s">
        <v>109</v>
      </c>
      <c r="J11" s="10" t="s">
        <v>130</v>
      </c>
      <c r="K11" s="10" t="s">
        <v>50</v>
      </c>
      <c r="L11" s="10">
        <v>0</v>
      </c>
      <c r="M11" s="10">
        <v>0</v>
      </c>
      <c r="N11" s="10">
        <v>1</v>
      </c>
      <c r="O11" s="10">
        <v>0</v>
      </c>
      <c r="P11" s="10">
        <v>0</v>
      </c>
      <c r="Q11" s="10">
        <v>33</v>
      </c>
      <c r="R11" s="10">
        <v>14</v>
      </c>
    </row>
    <row r="12" spans="1:18" ht="46.5" thickTop="1" thickBot="1" x14ac:dyDescent="0.3">
      <c r="A12" s="14">
        <v>11</v>
      </c>
      <c r="B12" s="14" t="s">
        <v>135</v>
      </c>
      <c r="C12" s="14" t="s">
        <v>136</v>
      </c>
      <c r="D12" s="14" t="s">
        <v>36</v>
      </c>
      <c r="E12" s="15">
        <v>10000</v>
      </c>
      <c r="F12" s="14" t="s">
        <v>45</v>
      </c>
      <c r="G12" s="14" t="s">
        <v>96</v>
      </c>
      <c r="H12" s="14" t="s">
        <v>137</v>
      </c>
      <c r="I12" s="14" t="s">
        <v>138</v>
      </c>
      <c r="J12" s="14" t="s">
        <v>139</v>
      </c>
      <c r="K12" s="14"/>
      <c r="L12" s="14">
        <v>0</v>
      </c>
      <c r="M12" s="14">
        <v>1</v>
      </c>
      <c r="N12" s="14">
        <v>0</v>
      </c>
      <c r="O12" s="14">
        <v>0</v>
      </c>
      <c r="P12" s="14">
        <v>0</v>
      </c>
      <c r="Q12" s="14">
        <v>7</v>
      </c>
      <c r="R12" s="14">
        <v>16</v>
      </c>
    </row>
    <row r="13" spans="1:18" ht="61.5" thickTop="1" thickBot="1" x14ac:dyDescent="0.3">
      <c r="A13" s="16">
        <v>12</v>
      </c>
      <c r="B13" s="16" t="s">
        <v>140</v>
      </c>
      <c r="C13" s="16" t="s">
        <v>141</v>
      </c>
      <c r="D13" s="16" t="s">
        <v>83</v>
      </c>
      <c r="E13" s="17">
        <v>238013</v>
      </c>
      <c r="F13" s="16" t="s">
        <v>84</v>
      </c>
      <c r="G13" s="16" t="s">
        <v>85</v>
      </c>
      <c r="H13" s="16" t="s">
        <v>54</v>
      </c>
      <c r="I13" s="16" t="s">
        <v>77</v>
      </c>
      <c r="J13" s="16" t="s">
        <v>142</v>
      </c>
      <c r="K13" s="16" t="s">
        <v>50</v>
      </c>
      <c r="L13" s="16">
        <v>1</v>
      </c>
      <c r="M13" s="16">
        <v>0</v>
      </c>
      <c r="N13" s="16">
        <v>4</v>
      </c>
      <c r="O13" s="16">
        <v>0</v>
      </c>
      <c r="P13" s="16">
        <v>0</v>
      </c>
      <c r="Q13" s="16">
        <v>45</v>
      </c>
      <c r="R13" s="16">
        <v>17</v>
      </c>
    </row>
    <row r="14" spans="1:18" ht="46.5" thickTop="1" thickBot="1" x14ac:dyDescent="0.3">
      <c r="A14" s="4">
        <v>13</v>
      </c>
      <c r="B14" s="4" t="s">
        <v>154</v>
      </c>
      <c r="C14" s="4" t="s">
        <v>155</v>
      </c>
      <c r="D14" s="4" t="s">
        <v>36</v>
      </c>
      <c r="E14" s="5">
        <v>15000</v>
      </c>
      <c r="F14" s="4" t="s">
        <v>114</v>
      </c>
      <c r="G14" s="4" t="s">
        <v>54</v>
      </c>
      <c r="H14" s="4" t="s">
        <v>128</v>
      </c>
      <c r="I14" s="4" t="s">
        <v>77</v>
      </c>
      <c r="J14" s="4" t="s">
        <v>78</v>
      </c>
      <c r="K14" s="4" t="s">
        <v>79</v>
      </c>
      <c r="L14" s="4">
        <v>0</v>
      </c>
      <c r="M14" s="4">
        <v>1</v>
      </c>
      <c r="N14" s="4">
        <v>0</v>
      </c>
      <c r="O14" s="4">
        <v>0</v>
      </c>
      <c r="P14" s="4">
        <v>1</v>
      </c>
      <c r="Q14" s="4">
        <v>43</v>
      </c>
      <c r="R14" s="4">
        <v>20</v>
      </c>
    </row>
    <row r="15" spans="1:18" ht="61.5" thickTop="1" thickBot="1" x14ac:dyDescent="0.3">
      <c r="A15" s="6">
        <v>14</v>
      </c>
      <c r="B15" s="6" t="s">
        <v>157</v>
      </c>
      <c r="C15" s="6" t="s">
        <v>158</v>
      </c>
      <c r="D15" s="6" t="s">
        <v>36</v>
      </c>
      <c r="E15" s="7">
        <v>9700</v>
      </c>
      <c r="F15" s="6" t="s">
        <v>53</v>
      </c>
      <c r="G15" s="6" t="s">
        <v>159</v>
      </c>
      <c r="H15" s="6" t="s">
        <v>54</v>
      </c>
      <c r="I15" s="6" t="s">
        <v>160</v>
      </c>
      <c r="J15" s="6" t="s">
        <v>161</v>
      </c>
      <c r="K15" s="6" t="s">
        <v>50</v>
      </c>
      <c r="L15" s="6">
        <v>1</v>
      </c>
      <c r="M15" s="6">
        <v>0</v>
      </c>
      <c r="N15" s="6">
        <v>2</v>
      </c>
      <c r="O15" s="6">
        <v>0</v>
      </c>
      <c r="P15" s="6">
        <v>0</v>
      </c>
      <c r="Q15" s="6">
        <v>13</v>
      </c>
      <c r="R15" s="6">
        <v>21</v>
      </c>
    </row>
    <row r="16" spans="1:18" ht="61.5" thickTop="1" thickBot="1" x14ac:dyDescent="0.3">
      <c r="A16" s="8">
        <v>15</v>
      </c>
      <c r="B16" s="8" t="s">
        <v>168</v>
      </c>
      <c r="C16" s="8" t="s">
        <v>169</v>
      </c>
      <c r="D16" s="8" t="s">
        <v>36</v>
      </c>
      <c r="E16" s="9">
        <v>14998</v>
      </c>
      <c r="F16" s="8" t="s">
        <v>53</v>
      </c>
      <c r="G16" s="8" t="s">
        <v>108</v>
      </c>
      <c r="H16" s="8" t="s">
        <v>109</v>
      </c>
      <c r="I16" s="8" t="s">
        <v>115</v>
      </c>
      <c r="J16" s="8" t="s">
        <v>170</v>
      </c>
      <c r="K16" s="8" t="s">
        <v>88</v>
      </c>
      <c r="L16" s="8">
        <v>3</v>
      </c>
      <c r="M16" s="8">
        <v>0</v>
      </c>
      <c r="N16" s="8">
        <v>0</v>
      </c>
      <c r="O16" s="8">
        <v>0</v>
      </c>
      <c r="P16" s="8">
        <v>0</v>
      </c>
      <c r="Q16" s="8">
        <v>37</v>
      </c>
      <c r="R16" s="8">
        <v>22</v>
      </c>
    </row>
    <row r="17" spans="1:18" ht="61.5" thickTop="1" thickBot="1" x14ac:dyDescent="0.3">
      <c r="A17" s="10">
        <v>16</v>
      </c>
      <c r="B17" s="10" t="s">
        <v>172</v>
      </c>
      <c r="C17" s="10" t="s">
        <v>173</v>
      </c>
      <c r="D17" s="10" t="s">
        <v>36</v>
      </c>
      <c r="E17" s="11">
        <v>9500</v>
      </c>
      <c r="F17" s="10" t="s">
        <v>174</v>
      </c>
      <c r="G17" s="10" t="s">
        <v>175</v>
      </c>
      <c r="H17" s="10" t="s">
        <v>176</v>
      </c>
      <c r="I17" s="10" t="s">
        <v>40</v>
      </c>
      <c r="J17" s="10" t="s">
        <v>177</v>
      </c>
      <c r="K17" s="10"/>
      <c r="L17" s="10">
        <v>0</v>
      </c>
      <c r="M17" s="10">
        <v>0</v>
      </c>
      <c r="N17" s="10">
        <v>1</v>
      </c>
      <c r="O17" s="10">
        <v>0</v>
      </c>
      <c r="P17" s="10">
        <v>0</v>
      </c>
      <c r="Q17" s="10">
        <v>8</v>
      </c>
      <c r="R17" s="10">
        <v>24</v>
      </c>
    </row>
    <row r="18" spans="1:18" ht="46.5" thickTop="1" thickBot="1" x14ac:dyDescent="0.3">
      <c r="A18" s="14">
        <v>17</v>
      </c>
      <c r="B18" s="14" t="s">
        <v>178</v>
      </c>
      <c r="C18" s="14" t="s">
        <v>179</v>
      </c>
      <c r="D18" s="14" t="s">
        <v>83</v>
      </c>
      <c r="E18" s="15">
        <v>122318</v>
      </c>
      <c r="F18" s="14" t="s">
        <v>53</v>
      </c>
      <c r="G18" s="14" t="s">
        <v>85</v>
      </c>
      <c r="H18" s="14" t="s">
        <v>86</v>
      </c>
      <c r="I18" s="14" t="s">
        <v>128</v>
      </c>
      <c r="J18" s="14" t="s">
        <v>180</v>
      </c>
      <c r="K18" s="14" t="s">
        <v>50</v>
      </c>
      <c r="L18" s="14">
        <v>0</v>
      </c>
      <c r="M18" s="14">
        <v>1</v>
      </c>
      <c r="N18" s="14">
        <v>0</v>
      </c>
      <c r="O18" s="14">
        <v>0</v>
      </c>
      <c r="P18" s="14">
        <v>0</v>
      </c>
      <c r="Q18" s="14">
        <v>48</v>
      </c>
      <c r="R18" s="14">
        <v>25</v>
      </c>
    </row>
    <row r="19" spans="1:18" ht="46.5" thickTop="1" thickBot="1" x14ac:dyDescent="0.3">
      <c r="A19" s="16">
        <v>18</v>
      </c>
      <c r="B19" s="16" t="s">
        <v>181</v>
      </c>
      <c r="C19" s="16" t="s">
        <v>182</v>
      </c>
      <c r="D19" s="16" t="s">
        <v>36</v>
      </c>
      <c r="E19" s="17">
        <v>15141</v>
      </c>
      <c r="F19" s="16" t="s">
        <v>53</v>
      </c>
      <c r="G19" s="16" t="s">
        <v>85</v>
      </c>
      <c r="H19" s="16" t="s">
        <v>86</v>
      </c>
      <c r="I19" s="16" t="s">
        <v>48</v>
      </c>
      <c r="J19" s="16" t="s">
        <v>183</v>
      </c>
      <c r="K19" s="16" t="s">
        <v>88</v>
      </c>
      <c r="L19" s="16">
        <v>0</v>
      </c>
      <c r="M19" s="16">
        <v>2</v>
      </c>
      <c r="N19" s="16">
        <v>1</v>
      </c>
      <c r="O19" s="16">
        <v>1</v>
      </c>
      <c r="P19" s="16">
        <v>4</v>
      </c>
      <c r="Q19" s="16">
        <v>36</v>
      </c>
      <c r="R19" s="16">
        <v>28</v>
      </c>
    </row>
    <row r="20" spans="1:18" ht="46.5" thickTop="1" thickBot="1" x14ac:dyDescent="0.3">
      <c r="A20" s="4">
        <v>19</v>
      </c>
      <c r="B20" s="4" t="s">
        <v>184</v>
      </c>
      <c r="C20" s="4" t="s">
        <v>185</v>
      </c>
      <c r="D20" s="4" t="s">
        <v>36</v>
      </c>
      <c r="E20" s="5">
        <v>9988</v>
      </c>
      <c r="F20" s="4" t="s">
        <v>114</v>
      </c>
      <c r="G20" s="4" t="s">
        <v>98</v>
      </c>
      <c r="H20" s="4" t="s">
        <v>138</v>
      </c>
      <c r="I20" s="4"/>
      <c r="J20" s="4" t="s">
        <v>186</v>
      </c>
      <c r="K20" s="4" t="s">
        <v>42</v>
      </c>
      <c r="L20" s="4">
        <v>2</v>
      </c>
      <c r="M20" s="4">
        <v>0</v>
      </c>
      <c r="N20" s="4">
        <v>0</v>
      </c>
      <c r="O20" s="4">
        <v>0</v>
      </c>
      <c r="P20" s="4">
        <v>0</v>
      </c>
      <c r="Q20" s="4">
        <v>2</v>
      </c>
      <c r="R20" s="4">
        <v>30</v>
      </c>
    </row>
    <row r="21" spans="1:18" ht="61.5" thickTop="1" thickBot="1" x14ac:dyDescent="0.3">
      <c r="A21" s="6">
        <v>20</v>
      </c>
      <c r="B21" s="6" t="s">
        <v>187</v>
      </c>
      <c r="C21" s="6" t="s">
        <v>188</v>
      </c>
      <c r="D21" s="6" t="s">
        <v>36</v>
      </c>
      <c r="E21" s="7">
        <v>10000</v>
      </c>
      <c r="F21" s="6" t="s">
        <v>53</v>
      </c>
      <c r="G21" s="6" t="s">
        <v>189</v>
      </c>
      <c r="H21" s="6" t="s">
        <v>86</v>
      </c>
      <c r="I21" s="6" t="s">
        <v>54</v>
      </c>
      <c r="J21" s="6" t="s">
        <v>190</v>
      </c>
      <c r="K21" s="6" t="s">
        <v>50</v>
      </c>
      <c r="L21" s="6">
        <v>0</v>
      </c>
      <c r="M21" s="6">
        <v>0</v>
      </c>
      <c r="N21" s="6">
        <v>1</v>
      </c>
      <c r="O21" s="6">
        <v>0</v>
      </c>
      <c r="P21" s="6">
        <v>0</v>
      </c>
      <c r="Q21" s="6">
        <v>15</v>
      </c>
      <c r="R21" s="6">
        <v>31</v>
      </c>
    </row>
    <row r="22" spans="1:18" ht="61.5" thickTop="1" thickBot="1" x14ac:dyDescent="0.3">
      <c r="A22" s="8">
        <v>21</v>
      </c>
      <c r="B22" s="8" t="s">
        <v>192</v>
      </c>
      <c r="C22" s="8" t="s">
        <v>193</v>
      </c>
      <c r="D22" s="8" t="s">
        <v>36</v>
      </c>
      <c r="E22" s="9">
        <v>10000</v>
      </c>
      <c r="F22" s="8" t="s">
        <v>114</v>
      </c>
      <c r="G22" s="8" t="s">
        <v>38</v>
      </c>
      <c r="H22" s="8" t="s">
        <v>40</v>
      </c>
      <c r="I22" s="8" t="s">
        <v>176</v>
      </c>
      <c r="J22" s="8" t="s">
        <v>194</v>
      </c>
      <c r="K22" s="8" t="s">
        <v>42</v>
      </c>
      <c r="L22" s="8">
        <v>0</v>
      </c>
      <c r="M22" s="8">
        <v>1</v>
      </c>
      <c r="N22" s="8">
        <v>0</v>
      </c>
      <c r="O22" s="8">
        <v>0</v>
      </c>
      <c r="P22" s="8">
        <v>0</v>
      </c>
      <c r="Q22" s="8">
        <v>3</v>
      </c>
      <c r="R22" s="8">
        <v>32</v>
      </c>
    </row>
    <row r="23" spans="1:18" ht="31.5" thickTop="1" thickBot="1" x14ac:dyDescent="0.3">
      <c r="A23" s="10">
        <v>22</v>
      </c>
      <c r="B23" s="10" t="s">
        <v>195</v>
      </c>
      <c r="C23" s="10" t="s">
        <v>196</v>
      </c>
      <c r="D23" s="10" t="s">
        <v>197</v>
      </c>
      <c r="E23" s="11">
        <v>250000</v>
      </c>
      <c r="F23" s="10" t="s">
        <v>53</v>
      </c>
      <c r="G23" s="10" t="s">
        <v>108</v>
      </c>
      <c r="H23" s="10" t="s">
        <v>198</v>
      </c>
      <c r="I23" s="10" t="s">
        <v>159</v>
      </c>
      <c r="J23" s="10" t="s">
        <v>99</v>
      </c>
      <c r="K23" s="10" t="s">
        <v>58</v>
      </c>
      <c r="L23" s="10">
        <v>2</v>
      </c>
      <c r="M23" s="10">
        <v>1</v>
      </c>
      <c r="N23" s="10">
        <v>3</v>
      </c>
      <c r="O23" s="10">
        <v>0</v>
      </c>
      <c r="P23" s="10">
        <v>2</v>
      </c>
      <c r="Q23" s="10">
        <v>46</v>
      </c>
      <c r="R23" s="10">
        <v>33</v>
      </c>
    </row>
    <row r="24" spans="1:18" ht="46.5" thickTop="1" thickBot="1" x14ac:dyDescent="0.3">
      <c r="A24" s="14">
        <v>23</v>
      </c>
      <c r="B24" s="14" t="s">
        <v>209</v>
      </c>
      <c r="C24" s="14" t="s">
        <v>210</v>
      </c>
      <c r="D24" s="14" t="s">
        <v>127</v>
      </c>
      <c r="E24" s="15">
        <v>200000</v>
      </c>
      <c r="F24" s="14" t="s">
        <v>63</v>
      </c>
      <c r="G24" s="14" t="s">
        <v>129</v>
      </c>
      <c r="H24" s="14" t="s">
        <v>109</v>
      </c>
      <c r="I24" s="14" t="s">
        <v>128</v>
      </c>
      <c r="J24" s="14" t="s">
        <v>211</v>
      </c>
      <c r="K24" s="14" t="s">
        <v>88</v>
      </c>
      <c r="L24" s="14">
        <v>0</v>
      </c>
      <c r="M24" s="14">
        <v>0</v>
      </c>
      <c r="N24" s="14">
        <v>2</v>
      </c>
      <c r="O24" s="14">
        <v>0</v>
      </c>
      <c r="P24" s="14">
        <v>0</v>
      </c>
      <c r="Q24" s="14">
        <v>44</v>
      </c>
      <c r="R24" s="14">
        <v>36</v>
      </c>
    </row>
    <row r="25" spans="1:18" ht="46.5" thickTop="1" thickBot="1" x14ac:dyDescent="0.3">
      <c r="A25" s="16">
        <v>24</v>
      </c>
      <c r="B25" s="16" t="s">
        <v>223</v>
      </c>
      <c r="C25" s="16" t="s">
        <v>224</v>
      </c>
      <c r="D25" s="16" t="s">
        <v>36</v>
      </c>
      <c r="E25" s="17">
        <v>15000</v>
      </c>
      <c r="F25" s="16" t="s">
        <v>37</v>
      </c>
      <c r="G25" s="16" t="s">
        <v>225</v>
      </c>
      <c r="H25" s="16" t="s">
        <v>128</v>
      </c>
      <c r="I25" s="16" t="s">
        <v>76</v>
      </c>
      <c r="J25" s="16" t="s">
        <v>67</v>
      </c>
      <c r="K25" s="16" t="s">
        <v>88</v>
      </c>
      <c r="L25" s="16">
        <v>0</v>
      </c>
      <c r="M25" s="16">
        <v>0</v>
      </c>
      <c r="N25" s="16">
        <v>1</v>
      </c>
      <c r="O25" s="16">
        <v>0</v>
      </c>
      <c r="P25" s="16">
        <v>1</v>
      </c>
      <c r="Q25" s="16">
        <v>40</v>
      </c>
      <c r="R25" s="16">
        <v>39</v>
      </c>
    </row>
    <row r="26" spans="1:18" ht="61.5" thickTop="1" thickBot="1" x14ac:dyDescent="0.3">
      <c r="A26" s="4">
        <v>25</v>
      </c>
      <c r="B26" s="4" t="s">
        <v>228</v>
      </c>
      <c r="C26" s="4" t="s">
        <v>229</v>
      </c>
      <c r="D26" s="4" t="s">
        <v>36</v>
      </c>
      <c r="E26" s="5">
        <v>5000</v>
      </c>
      <c r="F26" s="4" t="s">
        <v>174</v>
      </c>
      <c r="G26" s="4" t="s">
        <v>230</v>
      </c>
      <c r="H26" s="4" t="s">
        <v>231</v>
      </c>
      <c r="I26" s="4" t="s">
        <v>232</v>
      </c>
      <c r="J26" s="4" t="s">
        <v>233</v>
      </c>
      <c r="K26" s="4"/>
      <c r="L26" s="4">
        <v>0</v>
      </c>
      <c r="M26" s="4">
        <v>0</v>
      </c>
      <c r="N26" s="4">
        <v>0</v>
      </c>
      <c r="O26" s="4">
        <v>0</v>
      </c>
      <c r="P26" s="4">
        <v>0</v>
      </c>
      <c r="Q26" s="4">
        <v>34</v>
      </c>
      <c r="R26" s="4">
        <v>40</v>
      </c>
    </row>
    <row r="27" spans="1:18" ht="91.5" thickTop="1" thickBot="1" x14ac:dyDescent="0.3">
      <c r="A27" s="6">
        <v>26</v>
      </c>
      <c r="B27" s="6" t="s">
        <v>235</v>
      </c>
      <c r="C27" s="6" t="s">
        <v>236</v>
      </c>
      <c r="D27" s="6" t="s">
        <v>36</v>
      </c>
      <c r="E27" s="7">
        <v>10000</v>
      </c>
      <c r="F27" s="6" t="s">
        <v>63</v>
      </c>
      <c r="G27" s="6" t="s">
        <v>38</v>
      </c>
      <c r="H27" s="6" t="s">
        <v>230</v>
      </c>
      <c r="I27" s="6" t="s">
        <v>39</v>
      </c>
      <c r="J27" s="6" t="s">
        <v>237</v>
      </c>
      <c r="K27" s="6" t="s">
        <v>42</v>
      </c>
      <c r="L27" s="6">
        <v>0</v>
      </c>
      <c r="M27" s="6">
        <v>0</v>
      </c>
      <c r="N27" s="6">
        <v>1</v>
      </c>
      <c r="O27" s="6">
        <v>0</v>
      </c>
      <c r="P27" s="6">
        <v>0</v>
      </c>
      <c r="Q27" s="6">
        <v>4</v>
      </c>
      <c r="R27" s="6">
        <v>42</v>
      </c>
    </row>
    <row r="28" spans="1:18" ht="46.5" thickTop="1" thickBot="1" x14ac:dyDescent="0.3">
      <c r="A28" s="8">
        <v>27</v>
      </c>
      <c r="B28" s="8" t="s">
        <v>238</v>
      </c>
      <c r="C28" s="8" t="s">
        <v>239</v>
      </c>
      <c r="D28" s="8" t="s">
        <v>36</v>
      </c>
      <c r="E28" s="9">
        <v>9999</v>
      </c>
      <c r="F28" s="8"/>
      <c r="G28" s="8" t="s">
        <v>138</v>
      </c>
      <c r="H28" s="8"/>
      <c r="I28" s="8"/>
      <c r="J28" s="8" t="s">
        <v>240</v>
      </c>
      <c r="K28" s="8"/>
      <c r="L28" s="8">
        <v>0</v>
      </c>
      <c r="M28" s="8">
        <v>2</v>
      </c>
      <c r="N28" s="8">
        <v>1</v>
      </c>
      <c r="O28" s="8"/>
      <c r="P28" s="8"/>
      <c r="Q28" s="8">
        <v>9</v>
      </c>
      <c r="R28" s="8">
        <v>43</v>
      </c>
    </row>
    <row r="29" spans="1:18" ht="76.5" thickTop="1" thickBot="1" x14ac:dyDescent="0.3">
      <c r="A29" s="10">
        <v>28</v>
      </c>
      <c r="B29" s="10" t="s">
        <v>242</v>
      </c>
      <c r="C29" s="10" t="s">
        <v>243</v>
      </c>
      <c r="D29" s="10" t="s">
        <v>36</v>
      </c>
      <c r="E29" s="11">
        <v>15000</v>
      </c>
      <c r="F29" s="10" t="s">
        <v>53</v>
      </c>
      <c r="G29" s="10" t="s">
        <v>108</v>
      </c>
      <c r="H29" s="10" t="s">
        <v>54</v>
      </c>
      <c r="I29" s="10" t="s">
        <v>244</v>
      </c>
      <c r="J29" s="10" t="s">
        <v>245</v>
      </c>
      <c r="K29" s="10" t="s">
        <v>246</v>
      </c>
      <c r="L29" s="10">
        <v>0</v>
      </c>
      <c r="M29" s="10">
        <v>0</v>
      </c>
      <c r="N29" s="10">
        <v>0</v>
      </c>
      <c r="O29" s="10">
        <v>0</v>
      </c>
      <c r="P29" s="10">
        <v>0</v>
      </c>
      <c r="Q29" s="10">
        <v>42</v>
      </c>
      <c r="R29" s="10">
        <v>44</v>
      </c>
    </row>
    <row r="30" spans="1:18" ht="46.5" thickTop="1" thickBot="1" x14ac:dyDescent="0.3">
      <c r="A30" s="14">
        <v>29</v>
      </c>
      <c r="B30" s="14" t="s">
        <v>247</v>
      </c>
      <c r="C30" s="14" t="s">
        <v>248</v>
      </c>
      <c r="D30" s="14" t="s">
        <v>36</v>
      </c>
      <c r="E30" s="15">
        <v>9887</v>
      </c>
      <c r="F30" s="14" t="s">
        <v>53</v>
      </c>
      <c r="G30" s="14" t="s">
        <v>138</v>
      </c>
      <c r="H30" s="14" t="s">
        <v>249</v>
      </c>
      <c r="I30" s="14" t="s">
        <v>98</v>
      </c>
      <c r="J30" s="14" t="s">
        <v>250</v>
      </c>
      <c r="K30" s="14" t="s">
        <v>251</v>
      </c>
      <c r="L30" s="14">
        <v>0</v>
      </c>
      <c r="M30" s="14">
        <v>0</v>
      </c>
      <c r="N30" s="14">
        <v>1</v>
      </c>
      <c r="O30" s="14">
        <v>0</v>
      </c>
      <c r="P30" s="14">
        <v>0</v>
      </c>
      <c r="Q30" s="14">
        <v>5</v>
      </c>
      <c r="R30" s="14">
        <v>45</v>
      </c>
    </row>
    <row r="31" spans="1:18" ht="61.5" thickTop="1" thickBot="1" x14ac:dyDescent="0.3">
      <c r="A31" s="16">
        <v>30</v>
      </c>
      <c r="B31" s="16" t="s">
        <v>257</v>
      </c>
      <c r="C31" s="16" t="s">
        <v>258</v>
      </c>
      <c r="D31" s="16" t="s">
        <v>83</v>
      </c>
      <c r="E31" s="17">
        <v>240624</v>
      </c>
      <c r="F31" s="16" t="s">
        <v>84</v>
      </c>
      <c r="G31" s="16" t="s">
        <v>85</v>
      </c>
      <c r="H31" s="16" t="s">
        <v>55</v>
      </c>
      <c r="I31" s="16" t="s">
        <v>86</v>
      </c>
      <c r="J31" s="16" t="s">
        <v>259</v>
      </c>
      <c r="K31" s="16" t="s">
        <v>88</v>
      </c>
      <c r="L31" s="16">
        <v>2</v>
      </c>
      <c r="M31" s="16">
        <v>1</v>
      </c>
      <c r="N31" s="16">
        <v>0</v>
      </c>
      <c r="O31" s="16">
        <v>0</v>
      </c>
      <c r="P31" s="16">
        <v>1</v>
      </c>
      <c r="Q31" s="16">
        <v>49</v>
      </c>
      <c r="R31" s="16">
        <v>46</v>
      </c>
    </row>
    <row r="32" spans="1:18" ht="15.75" thickTop="1" x14ac:dyDescent="0.25">
      <c r="A32" s="34"/>
      <c r="B32" s="34"/>
      <c r="C32" s="34"/>
      <c r="D32" s="34"/>
      <c r="E32" s="34"/>
      <c r="F32" s="34"/>
      <c r="G32" s="34"/>
      <c r="H32" s="34"/>
      <c r="I32" s="34"/>
      <c r="J32" s="34"/>
      <c r="K32" s="34"/>
      <c r="L32" s="34"/>
      <c r="M32" s="34"/>
      <c r="N32" s="34"/>
      <c r="O32" s="34"/>
      <c r="P32" s="34"/>
      <c r="Q32" s="34"/>
      <c r="R32" s="3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45B4E-2ACE-4014-BF97-F0B69A5A404F}">
  <dimension ref="A1:K58"/>
  <sheetViews>
    <sheetView workbookViewId="0">
      <pane xSplit="2" ySplit="1" topLeftCell="C2" activePane="bottomRight" state="frozen"/>
      <selection pane="topRight" activeCell="C1" sqref="C1"/>
      <selection pane="bottomLeft" activeCell="A2" sqref="A2"/>
      <selection pane="bottomRight" activeCell="E50" sqref="E50"/>
    </sheetView>
  </sheetViews>
  <sheetFormatPr defaultRowHeight="15" x14ac:dyDescent="0.25"/>
  <cols>
    <col min="1" max="1" width="7.28515625" customWidth="1"/>
    <col min="2" max="2" width="21.42578125" customWidth="1"/>
    <col min="3" max="3" width="36.7109375" customWidth="1"/>
    <col min="4" max="4" width="18.28515625" customWidth="1"/>
    <col min="5" max="5" width="54.85546875" customWidth="1"/>
    <col min="6" max="6" width="12" customWidth="1"/>
    <col min="7" max="7" width="27.5703125" customWidth="1"/>
    <col min="8" max="9" width="13.28515625" customWidth="1"/>
    <col min="10" max="10" width="9.7109375" customWidth="1"/>
    <col min="11" max="11" width="7.28515625" customWidth="1"/>
  </cols>
  <sheetData>
    <row r="1" spans="1:11" ht="30.75" thickBot="1" x14ac:dyDescent="0.3">
      <c r="A1" s="1" t="s">
        <v>0</v>
      </c>
      <c r="B1" s="1" t="s">
        <v>1</v>
      </c>
      <c r="C1" s="1" t="s">
        <v>2</v>
      </c>
      <c r="D1" s="1" t="s">
        <v>16</v>
      </c>
      <c r="E1" s="1" t="s">
        <v>17</v>
      </c>
      <c r="F1" s="1" t="s">
        <v>18</v>
      </c>
      <c r="G1" s="1" t="s">
        <v>19</v>
      </c>
      <c r="H1" s="1" t="s">
        <v>20</v>
      </c>
      <c r="I1" s="1" t="s">
        <v>21</v>
      </c>
      <c r="J1" s="1" t="s">
        <v>32</v>
      </c>
      <c r="K1" s="1" t="s">
        <v>33</v>
      </c>
    </row>
    <row r="2" spans="1:11" ht="76.5" thickTop="1" thickBot="1" x14ac:dyDescent="0.3">
      <c r="A2" s="8">
        <v>3</v>
      </c>
      <c r="B2" s="8" t="s">
        <v>51</v>
      </c>
      <c r="C2" s="8" t="s">
        <v>52</v>
      </c>
      <c r="D2" s="8" t="s">
        <v>59</v>
      </c>
      <c r="E2" s="8" t="s">
        <v>60</v>
      </c>
      <c r="F2" s="8">
        <v>2023</v>
      </c>
      <c r="G2" s="8"/>
      <c r="H2" s="8">
        <v>1</v>
      </c>
      <c r="I2" s="8">
        <v>0</v>
      </c>
      <c r="J2" s="8">
        <v>12</v>
      </c>
      <c r="K2" s="8">
        <v>3</v>
      </c>
    </row>
    <row r="3" spans="1:11" ht="60.75" thickTop="1" x14ac:dyDescent="0.25">
      <c r="A3" s="10">
        <v>4</v>
      </c>
      <c r="B3" s="10" t="s">
        <v>61</v>
      </c>
      <c r="C3" s="10" t="s">
        <v>62</v>
      </c>
      <c r="D3" s="10" t="s">
        <v>68</v>
      </c>
      <c r="E3" s="10" t="s">
        <v>69</v>
      </c>
      <c r="F3" s="10"/>
      <c r="G3" s="10"/>
      <c r="H3" s="10">
        <v>1</v>
      </c>
      <c r="I3" s="10">
        <v>0</v>
      </c>
      <c r="J3" s="10">
        <v>6</v>
      </c>
      <c r="K3" s="10">
        <v>4</v>
      </c>
    </row>
    <row r="4" spans="1:11" ht="75" x14ac:dyDescent="0.25">
      <c r="A4" s="12">
        <v>4.0999999999999996</v>
      </c>
      <c r="B4" s="12" t="s">
        <v>61</v>
      </c>
      <c r="C4" s="12" t="s">
        <v>62</v>
      </c>
      <c r="D4" s="12" t="s">
        <v>70</v>
      </c>
      <c r="E4" s="12" t="s">
        <v>71</v>
      </c>
      <c r="F4" s="12"/>
      <c r="G4" s="12"/>
      <c r="H4" s="12">
        <v>1</v>
      </c>
      <c r="I4" s="12">
        <v>0</v>
      </c>
      <c r="J4" s="12">
        <v>6.1</v>
      </c>
      <c r="K4" s="12">
        <v>4.0999999999999996</v>
      </c>
    </row>
    <row r="5" spans="1:11" ht="60.75" thickBot="1" x14ac:dyDescent="0.3">
      <c r="A5" s="12">
        <v>4.2</v>
      </c>
      <c r="B5" s="12" t="s">
        <v>61</v>
      </c>
      <c r="C5" s="12" t="s">
        <v>62</v>
      </c>
      <c r="D5" s="12" t="s">
        <v>59</v>
      </c>
      <c r="E5" s="12" t="s">
        <v>72</v>
      </c>
      <c r="F5" s="12"/>
      <c r="G5" s="12"/>
      <c r="H5" s="12">
        <v>1</v>
      </c>
      <c r="I5" s="12">
        <v>0</v>
      </c>
      <c r="J5" s="12">
        <v>6.2</v>
      </c>
      <c r="K5" s="12">
        <v>4.2</v>
      </c>
    </row>
    <row r="6" spans="1:11" ht="61.5" thickTop="1" thickBot="1" x14ac:dyDescent="0.3">
      <c r="A6" s="14">
        <v>5</v>
      </c>
      <c r="B6" s="14" t="s">
        <v>73</v>
      </c>
      <c r="C6" s="14" t="s">
        <v>74</v>
      </c>
      <c r="D6" s="14" t="s">
        <v>68</v>
      </c>
      <c r="E6" s="14" t="s">
        <v>80</v>
      </c>
      <c r="F6" s="14">
        <v>2025</v>
      </c>
      <c r="G6" s="14"/>
      <c r="H6" s="14">
        <v>1</v>
      </c>
      <c r="I6" s="14">
        <v>0</v>
      </c>
      <c r="J6" s="14">
        <v>39</v>
      </c>
      <c r="K6" s="14">
        <v>5</v>
      </c>
    </row>
    <row r="7" spans="1:11" ht="45.75" thickTop="1" x14ac:dyDescent="0.25">
      <c r="A7" s="16">
        <v>6</v>
      </c>
      <c r="B7" s="16" t="s">
        <v>81</v>
      </c>
      <c r="C7" s="16" t="s">
        <v>82</v>
      </c>
      <c r="D7" s="16" t="s">
        <v>59</v>
      </c>
      <c r="E7" s="16" t="s">
        <v>89</v>
      </c>
      <c r="F7" s="16"/>
      <c r="G7" s="16" t="s">
        <v>90</v>
      </c>
      <c r="H7" s="16">
        <v>2</v>
      </c>
      <c r="I7" s="16">
        <v>2</v>
      </c>
      <c r="J7" s="16">
        <v>47</v>
      </c>
      <c r="K7" s="16">
        <v>7</v>
      </c>
    </row>
    <row r="8" spans="1:11" ht="45" x14ac:dyDescent="0.25">
      <c r="A8" s="18">
        <v>6.1</v>
      </c>
      <c r="B8" s="18" t="s">
        <v>81</v>
      </c>
      <c r="C8" s="18" t="s">
        <v>82</v>
      </c>
      <c r="D8" s="18" t="s">
        <v>70</v>
      </c>
      <c r="E8" s="18" t="s">
        <v>91</v>
      </c>
      <c r="F8" s="18"/>
      <c r="G8" s="18" t="s">
        <v>90</v>
      </c>
      <c r="H8" s="18">
        <v>2</v>
      </c>
      <c r="I8" s="18">
        <v>2</v>
      </c>
      <c r="J8" s="18">
        <v>47.1</v>
      </c>
      <c r="K8" s="18">
        <v>7.1</v>
      </c>
    </row>
    <row r="9" spans="1:11" ht="45.75" thickBot="1" x14ac:dyDescent="0.3">
      <c r="A9" s="20">
        <v>6.2</v>
      </c>
      <c r="B9" s="20" t="s">
        <v>92</v>
      </c>
      <c r="C9" s="20" t="s">
        <v>82</v>
      </c>
      <c r="D9" s="20" t="s">
        <v>70</v>
      </c>
      <c r="E9" s="20" t="s">
        <v>93</v>
      </c>
      <c r="F9" s="20"/>
      <c r="G9" s="20" t="s">
        <v>90</v>
      </c>
      <c r="H9" s="20">
        <v>3</v>
      </c>
      <c r="I9" s="20">
        <v>0</v>
      </c>
      <c r="J9" s="20">
        <v>31</v>
      </c>
      <c r="K9" s="20">
        <v>8</v>
      </c>
    </row>
    <row r="10" spans="1:11" ht="30.75" thickTop="1" x14ac:dyDescent="0.25">
      <c r="A10" s="4">
        <v>7</v>
      </c>
      <c r="B10" s="4" t="s">
        <v>94</v>
      </c>
      <c r="C10" s="4" t="s">
        <v>95</v>
      </c>
      <c r="D10" s="4" t="s">
        <v>59</v>
      </c>
      <c r="E10" s="4" t="s">
        <v>100</v>
      </c>
      <c r="F10" s="4"/>
      <c r="G10" s="4"/>
      <c r="H10" s="4">
        <v>1</v>
      </c>
      <c r="I10" s="4"/>
      <c r="J10" s="4">
        <v>10</v>
      </c>
      <c r="K10" s="4">
        <v>10</v>
      </c>
    </row>
    <row r="11" spans="1:11" ht="30.75" thickBot="1" x14ac:dyDescent="0.3">
      <c r="A11" s="22">
        <v>7.1</v>
      </c>
      <c r="B11" s="22" t="s">
        <v>94</v>
      </c>
      <c r="C11" s="22" t="s">
        <v>95</v>
      </c>
      <c r="D11" s="22" t="s">
        <v>59</v>
      </c>
      <c r="E11" s="22" t="s">
        <v>103</v>
      </c>
      <c r="F11" s="22"/>
      <c r="G11" s="22"/>
      <c r="H11" s="22">
        <v>1</v>
      </c>
      <c r="I11" s="22"/>
      <c r="J11" s="22">
        <v>10.1</v>
      </c>
      <c r="K11" s="22">
        <v>10.1</v>
      </c>
    </row>
    <row r="12" spans="1:11" ht="90.75" thickTop="1" x14ac:dyDescent="0.25">
      <c r="A12" s="8">
        <v>9</v>
      </c>
      <c r="B12" s="8" t="s">
        <v>112</v>
      </c>
      <c r="C12" s="8" t="s">
        <v>113</v>
      </c>
      <c r="D12" s="8" t="s">
        <v>70</v>
      </c>
      <c r="E12" s="8" t="s">
        <v>118</v>
      </c>
      <c r="F12" s="8">
        <v>2025</v>
      </c>
      <c r="G12" s="8"/>
      <c r="H12" s="8">
        <v>5</v>
      </c>
      <c r="I12" s="8">
        <v>0</v>
      </c>
      <c r="J12" s="8">
        <v>38</v>
      </c>
      <c r="K12" s="8">
        <v>12</v>
      </c>
    </row>
    <row r="13" spans="1:11" ht="60.75" thickBot="1" x14ac:dyDescent="0.3">
      <c r="A13" s="24">
        <v>9.1</v>
      </c>
      <c r="B13" s="24" t="s">
        <v>112</v>
      </c>
      <c r="C13" s="24" t="s">
        <v>113</v>
      </c>
      <c r="D13" s="24" t="s">
        <v>70</v>
      </c>
      <c r="E13" s="24" t="s">
        <v>124</v>
      </c>
      <c r="F13" s="24">
        <v>2024</v>
      </c>
      <c r="G13" s="24"/>
      <c r="H13" s="24">
        <v>2</v>
      </c>
      <c r="I13" s="24">
        <v>0</v>
      </c>
      <c r="J13" s="24">
        <v>25</v>
      </c>
      <c r="K13" s="24">
        <v>13</v>
      </c>
    </row>
    <row r="14" spans="1:11" ht="45.75" thickTop="1" x14ac:dyDescent="0.25">
      <c r="A14" s="10">
        <v>10</v>
      </c>
      <c r="B14" s="10" t="s">
        <v>125</v>
      </c>
      <c r="C14" s="10" t="s">
        <v>126</v>
      </c>
      <c r="D14" s="10" t="s">
        <v>131</v>
      </c>
      <c r="E14" s="10" t="s">
        <v>132</v>
      </c>
      <c r="F14" s="10">
        <v>2024</v>
      </c>
      <c r="G14" s="10"/>
      <c r="H14" s="10">
        <v>1</v>
      </c>
      <c r="I14" s="10">
        <v>4</v>
      </c>
      <c r="J14" s="10">
        <v>33</v>
      </c>
      <c r="K14" s="10">
        <v>14</v>
      </c>
    </row>
    <row r="15" spans="1:11" ht="45" x14ac:dyDescent="0.25">
      <c r="A15" s="12">
        <v>10.1</v>
      </c>
      <c r="B15" s="12" t="s">
        <v>125</v>
      </c>
      <c r="C15" s="12" t="s">
        <v>126</v>
      </c>
      <c r="D15" s="12" t="s">
        <v>70</v>
      </c>
      <c r="E15" s="12" t="s">
        <v>133</v>
      </c>
      <c r="F15" s="12"/>
      <c r="G15" s="12" t="s">
        <v>90</v>
      </c>
      <c r="H15" s="12">
        <v>1</v>
      </c>
      <c r="I15" s="12">
        <v>4</v>
      </c>
      <c r="J15" s="12">
        <v>33.1</v>
      </c>
      <c r="K15" s="12">
        <v>14.1</v>
      </c>
    </row>
    <row r="16" spans="1:11" ht="45.75" thickBot="1" x14ac:dyDescent="0.3">
      <c r="A16" s="26">
        <v>10.199999999999999</v>
      </c>
      <c r="B16" s="26" t="s">
        <v>125</v>
      </c>
      <c r="C16" s="26" t="s">
        <v>126</v>
      </c>
      <c r="D16" s="26" t="s">
        <v>70</v>
      </c>
      <c r="E16" s="26" t="s">
        <v>134</v>
      </c>
      <c r="F16" s="26"/>
      <c r="G16" s="26" t="s">
        <v>90</v>
      </c>
      <c r="H16" s="26">
        <v>1</v>
      </c>
      <c r="I16" s="26">
        <v>4</v>
      </c>
      <c r="J16" s="26">
        <v>33.200000000000003</v>
      </c>
      <c r="K16" s="26">
        <v>14.2</v>
      </c>
    </row>
    <row r="17" spans="1:11" ht="46.5" thickTop="1" thickBot="1" x14ac:dyDescent="0.3">
      <c r="A17" s="14">
        <v>11</v>
      </c>
      <c r="B17" s="14" t="s">
        <v>135</v>
      </c>
      <c r="C17" s="14" t="s">
        <v>136</v>
      </c>
      <c r="D17" s="14" t="s">
        <v>59</v>
      </c>
      <c r="E17" s="14"/>
      <c r="F17" s="14"/>
      <c r="G17" s="14" t="s">
        <v>90</v>
      </c>
      <c r="H17" s="14">
        <v>1</v>
      </c>
      <c r="I17" s="14">
        <v>0</v>
      </c>
      <c r="J17" s="14">
        <v>7</v>
      </c>
      <c r="K17" s="14">
        <v>16</v>
      </c>
    </row>
    <row r="18" spans="1:11" ht="60.75" thickTop="1" x14ac:dyDescent="0.25">
      <c r="A18" s="16">
        <v>12</v>
      </c>
      <c r="B18" s="16" t="s">
        <v>140</v>
      </c>
      <c r="C18" s="16" t="s">
        <v>141</v>
      </c>
      <c r="D18" s="16" t="s">
        <v>68</v>
      </c>
      <c r="E18" s="16" t="s">
        <v>143</v>
      </c>
      <c r="F18" s="16">
        <v>2024</v>
      </c>
      <c r="G18" s="16"/>
      <c r="H18" s="16">
        <v>1</v>
      </c>
      <c r="I18" s="16">
        <v>0</v>
      </c>
      <c r="J18" s="16">
        <v>45</v>
      </c>
      <c r="K18" s="16">
        <v>17</v>
      </c>
    </row>
    <row r="19" spans="1:11" ht="60" x14ac:dyDescent="0.25">
      <c r="A19" s="18">
        <v>12.1</v>
      </c>
      <c r="B19" s="18" t="s">
        <v>140</v>
      </c>
      <c r="C19" s="18" t="s">
        <v>141</v>
      </c>
      <c r="D19" s="18" t="s">
        <v>70</v>
      </c>
      <c r="E19" s="18" t="s">
        <v>144</v>
      </c>
      <c r="F19" s="18">
        <v>2025</v>
      </c>
      <c r="G19" s="18"/>
      <c r="H19" s="18">
        <v>1</v>
      </c>
      <c r="I19" s="18">
        <v>0</v>
      </c>
      <c r="J19" s="18">
        <v>45.1</v>
      </c>
      <c r="K19" s="18">
        <v>17.100000000000001</v>
      </c>
    </row>
    <row r="20" spans="1:11" ht="75" x14ac:dyDescent="0.25">
      <c r="A20" s="18">
        <v>12.2</v>
      </c>
      <c r="B20" s="18" t="s">
        <v>145</v>
      </c>
      <c r="C20" s="18" t="s">
        <v>141</v>
      </c>
      <c r="D20" s="18" t="s">
        <v>70</v>
      </c>
      <c r="E20" s="18" t="s">
        <v>146</v>
      </c>
      <c r="F20" s="18">
        <v>2023</v>
      </c>
      <c r="G20" s="18"/>
      <c r="H20" s="18">
        <v>1</v>
      </c>
      <c r="I20" s="18">
        <v>0</v>
      </c>
      <c r="J20" s="18">
        <v>28</v>
      </c>
      <c r="K20" s="18">
        <v>18</v>
      </c>
    </row>
    <row r="21" spans="1:11" ht="60" x14ac:dyDescent="0.25">
      <c r="A21" s="18">
        <v>12.3</v>
      </c>
      <c r="B21" s="18" t="s">
        <v>145</v>
      </c>
      <c r="C21" s="18" t="s">
        <v>141</v>
      </c>
      <c r="D21" s="18" t="s">
        <v>147</v>
      </c>
      <c r="E21" s="18" t="s">
        <v>148</v>
      </c>
      <c r="F21" s="18">
        <v>2022</v>
      </c>
      <c r="G21" s="18"/>
      <c r="H21" s="18">
        <v>1</v>
      </c>
      <c r="I21" s="18">
        <v>0</v>
      </c>
      <c r="J21" s="18">
        <v>28.1</v>
      </c>
      <c r="K21" s="18">
        <v>18.100000000000001</v>
      </c>
    </row>
    <row r="22" spans="1:11" ht="60" x14ac:dyDescent="0.25">
      <c r="A22" s="18">
        <v>12.4</v>
      </c>
      <c r="B22" s="18" t="s">
        <v>145</v>
      </c>
      <c r="C22" s="18" t="s">
        <v>141</v>
      </c>
      <c r="D22" s="18" t="s">
        <v>68</v>
      </c>
      <c r="E22" s="18" t="s">
        <v>149</v>
      </c>
      <c r="F22" s="18">
        <v>2024</v>
      </c>
      <c r="G22" s="18" t="s">
        <v>150</v>
      </c>
      <c r="H22" s="18">
        <v>1</v>
      </c>
      <c r="I22" s="18">
        <v>0</v>
      </c>
      <c r="J22" s="18">
        <v>28.2</v>
      </c>
      <c r="K22" s="18">
        <v>18.2</v>
      </c>
    </row>
    <row r="23" spans="1:11" ht="60" x14ac:dyDescent="0.25">
      <c r="A23" s="18">
        <v>12.5</v>
      </c>
      <c r="B23" s="18" t="s">
        <v>145</v>
      </c>
      <c r="C23" s="18" t="s">
        <v>141</v>
      </c>
      <c r="D23" s="18" t="s">
        <v>70</v>
      </c>
      <c r="E23" s="18" t="s">
        <v>151</v>
      </c>
      <c r="F23" s="18"/>
      <c r="G23" s="18" t="s">
        <v>152</v>
      </c>
      <c r="H23" s="18">
        <v>1</v>
      </c>
      <c r="I23" s="18">
        <v>0</v>
      </c>
      <c r="J23" s="18">
        <v>28.4</v>
      </c>
      <c r="K23" s="18">
        <v>18.399999999999999</v>
      </c>
    </row>
    <row r="24" spans="1:11" ht="60.75" thickBot="1" x14ac:dyDescent="0.3">
      <c r="A24" s="20">
        <v>12.6</v>
      </c>
      <c r="B24" s="20" t="s">
        <v>145</v>
      </c>
      <c r="C24" s="20" t="s">
        <v>141</v>
      </c>
      <c r="D24" s="20" t="s">
        <v>70</v>
      </c>
      <c r="E24" s="20" t="s">
        <v>153</v>
      </c>
      <c r="F24" s="20"/>
      <c r="G24" s="20" t="s">
        <v>90</v>
      </c>
      <c r="H24" s="20">
        <v>1</v>
      </c>
      <c r="I24" s="20">
        <v>0</v>
      </c>
      <c r="J24" s="20">
        <v>17.100000000000001</v>
      </c>
      <c r="K24" s="20">
        <v>19.100000000000001</v>
      </c>
    </row>
    <row r="25" spans="1:11" ht="61.5" thickTop="1" thickBot="1" x14ac:dyDescent="0.3">
      <c r="A25" s="4">
        <v>13</v>
      </c>
      <c r="B25" s="4" t="s">
        <v>154</v>
      </c>
      <c r="C25" s="4" t="s">
        <v>155</v>
      </c>
      <c r="D25" s="4" t="s">
        <v>68</v>
      </c>
      <c r="E25" s="4" t="s">
        <v>156</v>
      </c>
      <c r="F25" s="4">
        <v>2025</v>
      </c>
      <c r="G25" s="4"/>
      <c r="H25" s="4">
        <v>1</v>
      </c>
      <c r="I25" s="4">
        <v>0</v>
      </c>
      <c r="J25" s="4">
        <v>43</v>
      </c>
      <c r="K25" s="4">
        <v>20</v>
      </c>
    </row>
    <row r="26" spans="1:11" ht="61.5" thickTop="1" thickBot="1" x14ac:dyDescent="0.3">
      <c r="A26" s="6">
        <v>14</v>
      </c>
      <c r="B26" s="6" t="s">
        <v>157</v>
      </c>
      <c r="C26" s="6" t="s">
        <v>158</v>
      </c>
      <c r="D26" s="6" t="s">
        <v>68</v>
      </c>
      <c r="E26" s="6"/>
      <c r="F26" s="6">
        <v>2023</v>
      </c>
      <c r="G26" s="6" t="s">
        <v>90</v>
      </c>
      <c r="H26" s="6">
        <v>0</v>
      </c>
      <c r="I26" s="6">
        <v>0</v>
      </c>
      <c r="J26" s="6">
        <v>13</v>
      </c>
      <c r="K26" s="6">
        <v>21</v>
      </c>
    </row>
    <row r="27" spans="1:11" ht="76.5" thickTop="1" thickBot="1" x14ac:dyDescent="0.3">
      <c r="A27" s="8">
        <v>15</v>
      </c>
      <c r="B27" s="8" t="s">
        <v>168</v>
      </c>
      <c r="C27" s="8" t="s">
        <v>169</v>
      </c>
      <c r="D27" s="8" t="s">
        <v>70</v>
      </c>
      <c r="E27" s="8" t="s">
        <v>171</v>
      </c>
      <c r="F27" s="8">
        <v>2025</v>
      </c>
      <c r="G27" s="8"/>
      <c r="H27" s="8">
        <v>1</v>
      </c>
      <c r="I27" s="8">
        <v>0</v>
      </c>
      <c r="J27" s="8">
        <v>37</v>
      </c>
      <c r="K27" s="8">
        <v>22</v>
      </c>
    </row>
    <row r="28" spans="1:11" ht="61.5" thickTop="1" thickBot="1" x14ac:dyDescent="0.3">
      <c r="A28" s="10">
        <v>16</v>
      </c>
      <c r="B28" s="10" t="s">
        <v>172</v>
      </c>
      <c r="C28" s="10" t="s">
        <v>173</v>
      </c>
      <c r="D28" s="10" t="s">
        <v>59</v>
      </c>
      <c r="E28" s="10"/>
      <c r="F28" s="10"/>
      <c r="G28" s="10" t="s">
        <v>90</v>
      </c>
      <c r="H28" s="10">
        <v>1</v>
      </c>
      <c r="I28" s="10"/>
      <c r="J28" s="10">
        <v>8</v>
      </c>
      <c r="K28" s="10">
        <v>24</v>
      </c>
    </row>
    <row r="29" spans="1:11" ht="46.5" thickTop="1" thickBot="1" x14ac:dyDescent="0.3">
      <c r="A29" s="14">
        <v>17</v>
      </c>
      <c r="B29" s="14" t="s">
        <v>178</v>
      </c>
      <c r="C29" s="14" t="s">
        <v>179</v>
      </c>
      <c r="D29" s="14" t="s">
        <v>68</v>
      </c>
      <c r="E29" s="14"/>
      <c r="F29" s="14"/>
      <c r="G29" s="14" t="s">
        <v>90</v>
      </c>
      <c r="H29" s="14"/>
      <c r="I29" s="14"/>
      <c r="J29" s="14">
        <v>48</v>
      </c>
      <c r="K29" s="14">
        <v>25</v>
      </c>
    </row>
    <row r="30" spans="1:11" ht="46.5" thickTop="1" thickBot="1" x14ac:dyDescent="0.3">
      <c r="A30" s="16">
        <v>18</v>
      </c>
      <c r="B30" s="16" t="s">
        <v>181</v>
      </c>
      <c r="C30" s="16" t="s">
        <v>182</v>
      </c>
      <c r="D30" s="16" t="s">
        <v>59</v>
      </c>
      <c r="E30" s="16"/>
      <c r="F30" s="16"/>
      <c r="G30" s="16" t="s">
        <v>90</v>
      </c>
      <c r="H30" s="16">
        <v>3</v>
      </c>
      <c r="I30" s="16">
        <v>0</v>
      </c>
      <c r="J30" s="16">
        <v>36</v>
      </c>
      <c r="K30" s="16">
        <v>28</v>
      </c>
    </row>
    <row r="31" spans="1:11" ht="60.75" thickTop="1" x14ac:dyDescent="0.25">
      <c r="A31" s="6">
        <v>20</v>
      </c>
      <c r="B31" s="6" t="s">
        <v>187</v>
      </c>
      <c r="C31" s="6" t="s">
        <v>188</v>
      </c>
      <c r="D31" s="6" t="s">
        <v>191</v>
      </c>
      <c r="E31" s="6"/>
      <c r="F31" s="6"/>
      <c r="G31" s="6" t="s">
        <v>90</v>
      </c>
      <c r="H31" s="6"/>
      <c r="I31" s="6"/>
      <c r="J31" s="6">
        <v>15</v>
      </c>
      <c r="K31" s="6">
        <v>31</v>
      </c>
    </row>
    <row r="32" spans="1:11" ht="60.75" thickBot="1" x14ac:dyDescent="0.3">
      <c r="A32" s="28">
        <v>20.100000000000001</v>
      </c>
      <c r="B32" s="28" t="s">
        <v>187</v>
      </c>
      <c r="C32" s="28" t="s">
        <v>188</v>
      </c>
      <c r="D32" s="28" t="s">
        <v>70</v>
      </c>
      <c r="E32" s="28"/>
      <c r="F32" s="28"/>
      <c r="G32" s="28" t="s">
        <v>90</v>
      </c>
      <c r="H32" s="28"/>
      <c r="I32" s="28"/>
      <c r="J32" s="28">
        <v>15.1</v>
      </c>
      <c r="K32" s="28">
        <v>31.1</v>
      </c>
    </row>
    <row r="33" spans="1:11" ht="60.75" thickTop="1" x14ac:dyDescent="0.25">
      <c r="A33" s="10">
        <v>22</v>
      </c>
      <c r="B33" s="10" t="s">
        <v>195</v>
      </c>
      <c r="C33" s="10" t="s">
        <v>196</v>
      </c>
      <c r="D33" s="10" t="s">
        <v>70</v>
      </c>
      <c r="E33" s="10" t="s">
        <v>199</v>
      </c>
      <c r="F33" s="10">
        <v>2025</v>
      </c>
      <c r="G33" s="10"/>
      <c r="H33" s="10">
        <v>2</v>
      </c>
      <c r="I33" s="10">
        <v>0</v>
      </c>
      <c r="J33" s="10">
        <v>46</v>
      </c>
      <c r="K33" s="10">
        <v>33</v>
      </c>
    </row>
    <row r="34" spans="1:11" ht="60" x14ac:dyDescent="0.25">
      <c r="A34" s="12">
        <v>22.1</v>
      </c>
      <c r="B34" s="12" t="s">
        <v>195</v>
      </c>
      <c r="C34" s="12" t="s">
        <v>196</v>
      </c>
      <c r="D34" s="12" t="s">
        <v>70</v>
      </c>
      <c r="E34" s="12" t="s">
        <v>205</v>
      </c>
      <c r="F34" s="12"/>
      <c r="G34" s="12" t="s">
        <v>206</v>
      </c>
      <c r="H34" s="12">
        <v>2</v>
      </c>
      <c r="I34" s="12">
        <v>0</v>
      </c>
      <c r="J34" s="12">
        <v>46.1</v>
      </c>
      <c r="K34" s="12">
        <v>33.1</v>
      </c>
    </row>
    <row r="35" spans="1:11" ht="45.75" thickBot="1" x14ac:dyDescent="0.3">
      <c r="A35" s="30">
        <v>22.2</v>
      </c>
      <c r="B35" s="30" t="s">
        <v>207</v>
      </c>
      <c r="C35" s="30" t="s">
        <v>196</v>
      </c>
      <c r="D35" s="30" t="s">
        <v>68</v>
      </c>
      <c r="E35" s="30" t="s">
        <v>208</v>
      </c>
      <c r="F35" s="30">
        <v>2022</v>
      </c>
      <c r="G35" s="30"/>
      <c r="H35" s="30">
        <v>1</v>
      </c>
      <c r="I35" s="30">
        <v>0</v>
      </c>
      <c r="J35" s="30">
        <v>30</v>
      </c>
      <c r="K35" s="30">
        <v>34</v>
      </c>
    </row>
    <row r="36" spans="1:11" ht="75.75" thickTop="1" x14ac:dyDescent="0.25">
      <c r="A36" s="14">
        <v>23</v>
      </c>
      <c r="B36" s="14" t="s">
        <v>209</v>
      </c>
      <c r="C36" s="14" t="s">
        <v>210</v>
      </c>
      <c r="D36" s="14" t="s">
        <v>59</v>
      </c>
      <c r="E36" s="14" t="s">
        <v>212</v>
      </c>
      <c r="F36" s="14">
        <v>2025</v>
      </c>
      <c r="G36" s="14"/>
      <c r="H36" s="14">
        <v>1</v>
      </c>
      <c r="I36" s="14">
        <v>3</v>
      </c>
      <c r="J36" s="14">
        <v>44</v>
      </c>
      <c r="K36" s="14">
        <v>36</v>
      </c>
    </row>
    <row r="37" spans="1:11" ht="60" x14ac:dyDescent="0.25">
      <c r="A37" s="32">
        <v>23.1</v>
      </c>
      <c r="B37" s="32" t="s">
        <v>209</v>
      </c>
      <c r="C37" s="32" t="s">
        <v>210</v>
      </c>
      <c r="D37" s="32" t="s">
        <v>70</v>
      </c>
      <c r="E37" s="32" t="s">
        <v>213</v>
      </c>
      <c r="F37" s="32">
        <v>2025</v>
      </c>
      <c r="G37" s="32"/>
      <c r="H37" s="32">
        <v>1</v>
      </c>
      <c r="I37" s="32">
        <v>2</v>
      </c>
      <c r="J37" s="32">
        <v>44.1</v>
      </c>
      <c r="K37" s="32">
        <v>36.1</v>
      </c>
    </row>
    <row r="38" spans="1:11" ht="75" x14ac:dyDescent="0.25">
      <c r="A38" s="32">
        <v>23.2</v>
      </c>
      <c r="B38" s="32" t="s">
        <v>209</v>
      </c>
      <c r="C38" s="32" t="s">
        <v>210</v>
      </c>
      <c r="D38" s="32" t="s">
        <v>70</v>
      </c>
      <c r="E38" s="32" t="s">
        <v>214</v>
      </c>
      <c r="F38" s="32">
        <v>2025</v>
      </c>
      <c r="G38" s="32"/>
      <c r="H38" s="32">
        <v>1</v>
      </c>
      <c r="I38" s="32">
        <v>1</v>
      </c>
      <c r="J38" s="32">
        <v>44.2</v>
      </c>
      <c r="K38" s="32">
        <v>36.200000000000003</v>
      </c>
    </row>
    <row r="39" spans="1:11" ht="75" x14ac:dyDescent="0.25">
      <c r="A39" s="32">
        <v>23.3</v>
      </c>
      <c r="B39" s="32" t="s">
        <v>215</v>
      </c>
      <c r="C39" s="32" t="s">
        <v>210</v>
      </c>
      <c r="D39" s="32" t="s">
        <v>70</v>
      </c>
      <c r="E39" s="32" t="s">
        <v>216</v>
      </c>
      <c r="F39" s="32">
        <v>2023</v>
      </c>
      <c r="G39" s="32"/>
      <c r="H39" s="32">
        <v>1</v>
      </c>
      <c r="I39" s="32">
        <v>0</v>
      </c>
      <c r="J39" s="32">
        <v>27</v>
      </c>
      <c r="K39" s="32">
        <v>37</v>
      </c>
    </row>
    <row r="40" spans="1:11" ht="75" x14ac:dyDescent="0.25">
      <c r="A40" s="32">
        <v>23.4</v>
      </c>
      <c r="B40" s="32" t="s">
        <v>215</v>
      </c>
      <c r="C40" s="32" t="s">
        <v>210</v>
      </c>
      <c r="D40" s="32" t="s">
        <v>70</v>
      </c>
      <c r="E40" s="32" t="s">
        <v>217</v>
      </c>
      <c r="F40" s="32">
        <v>2024</v>
      </c>
      <c r="G40" s="32"/>
      <c r="H40" s="32">
        <v>0</v>
      </c>
      <c r="I40" s="32">
        <v>0</v>
      </c>
      <c r="J40" s="32">
        <v>27.1</v>
      </c>
      <c r="K40" s="32">
        <v>37.1</v>
      </c>
    </row>
    <row r="41" spans="1:11" ht="90" x14ac:dyDescent="0.25">
      <c r="A41" s="32">
        <v>23.5</v>
      </c>
      <c r="B41" s="32" t="s">
        <v>215</v>
      </c>
      <c r="C41" s="32" t="s">
        <v>210</v>
      </c>
      <c r="D41" s="32" t="s">
        <v>70</v>
      </c>
      <c r="E41" s="32" t="s">
        <v>218</v>
      </c>
      <c r="F41" s="32">
        <v>2024</v>
      </c>
      <c r="G41" s="32"/>
      <c r="H41" s="32">
        <v>1</v>
      </c>
      <c r="I41" s="32">
        <v>3</v>
      </c>
      <c r="J41" s="32">
        <v>27.2</v>
      </c>
      <c r="K41" s="32">
        <v>37.200000000000003</v>
      </c>
    </row>
    <row r="42" spans="1:11" ht="45" x14ac:dyDescent="0.25">
      <c r="A42" s="32">
        <v>23.6</v>
      </c>
      <c r="B42" s="32" t="s">
        <v>215</v>
      </c>
      <c r="C42" s="32" t="s">
        <v>210</v>
      </c>
      <c r="D42" s="32" t="s">
        <v>131</v>
      </c>
      <c r="E42" s="32" t="s">
        <v>219</v>
      </c>
      <c r="F42" s="32">
        <v>2023</v>
      </c>
      <c r="G42" s="32"/>
      <c r="H42" s="32">
        <v>1</v>
      </c>
      <c r="I42" s="32">
        <v>0</v>
      </c>
      <c r="J42" s="32">
        <v>27.3</v>
      </c>
      <c r="K42" s="32">
        <v>37.299999999999997</v>
      </c>
    </row>
    <row r="43" spans="1:11" ht="60" x14ac:dyDescent="0.25">
      <c r="A43" s="32">
        <v>23.7</v>
      </c>
      <c r="B43" s="32" t="s">
        <v>215</v>
      </c>
      <c r="C43" s="32" t="s">
        <v>210</v>
      </c>
      <c r="D43" s="32" t="s">
        <v>131</v>
      </c>
      <c r="E43" s="32" t="s">
        <v>220</v>
      </c>
      <c r="F43" s="32">
        <v>2023</v>
      </c>
      <c r="G43" s="32"/>
      <c r="H43" s="32">
        <v>0</v>
      </c>
      <c r="I43" s="32">
        <v>0</v>
      </c>
      <c r="J43" s="32">
        <v>27.4</v>
      </c>
      <c r="K43" s="32">
        <v>37.4</v>
      </c>
    </row>
    <row r="44" spans="1:11" ht="90" x14ac:dyDescent="0.25">
      <c r="A44" s="32">
        <v>23.8</v>
      </c>
      <c r="B44" s="32" t="s">
        <v>215</v>
      </c>
      <c r="C44" s="32" t="s">
        <v>210</v>
      </c>
      <c r="D44" s="32" t="s">
        <v>131</v>
      </c>
      <c r="E44" s="32" t="s">
        <v>221</v>
      </c>
      <c r="F44" s="32">
        <v>2023</v>
      </c>
      <c r="G44" s="32" t="s">
        <v>150</v>
      </c>
      <c r="H44" s="32">
        <v>1</v>
      </c>
      <c r="I44" s="32">
        <v>3</v>
      </c>
      <c r="J44" s="32">
        <v>27.6</v>
      </c>
      <c r="K44" s="32">
        <v>37.6</v>
      </c>
    </row>
    <row r="45" spans="1:11" ht="60.75" thickBot="1" x14ac:dyDescent="0.3">
      <c r="A45" s="32">
        <v>23.9</v>
      </c>
      <c r="B45" s="32" t="s">
        <v>215</v>
      </c>
      <c r="C45" s="32" t="s">
        <v>210</v>
      </c>
      <c r="D45" s="32" t="s">
        <v>70</v>
      </c>
      <c r="E45" s="32" t="s">
        <v>222</v>
      </c>
      <c r="F45" s="32"/>
      <c r="G45" s="32" t="s">
        <v>90</v>
      </c>
      <c r="H45" s="32">
        <v>1</v>
      </c>
      <c r="I45" s="32">
        <v>3</v>
      </c>
      <c r="J45" s="32">
        <v>22.2</v>
      </c>
      <c r="K45" s="32">
        <v>38.200000000000003</v>
      </c>
    </row>
    <row r="46" spans="1:11" ht="60.75" thickTop="1" x14ac:dyDescent="0.25">
      <c r="A46" s="16">
        <v>24</v>
      </c>
      <c r="B46" s="16" t="s">
        <v>223</v>
      </c>
      <c r="C46" s="16" t="s">
        <v>224</v>
      </c>
      <c r="D46" s="16" t="s">
        <v>68</v>
      </c>
      <c r="E46" s="16" t="s">
        <v>226</v>
      </c>
      <c r="F46" s="16">
        <v>2025</v>
      </c>
      <c r="G46" s="16"/>
      <c r="H46" s="16">
        <v>1</v>
      </c>
      <c r="I46" s="16">
        <v>0</v>
      </c>
      <c r="J46" s="16">
        <v>40</v>
      </c>
      <c r="K46" s="16">
        <v>39</v>
      </c>
    </row>
    <row r="47" spans="1:11" ht="45.75" thickBot="1" x14ac:dyDescent="0.3">
      <c r="A47" s="18">
        <v>24.1</v>
      </c>
      <c r="B47" s="18" t="s">
        <v>223</v>
      </c>
      <c r="C47" s="18" t="s">
        <v>224</v>
      </c>
      <c r="D47" s="18" t="s">
        <v>59</v>
      </c>
      <c r="E47" s="18" t="s">
        <v>227</v>
      </c>
      <c r="F47" s="18"/>
      <c r="G47" s="18" t="s">
        <v>90</v>
      </c>
      <c r="H47" s="18">
        <v>2</v>
      </c>
      <c r="I47" s="18">
        <v>0</v>
      </c>
      <c r="J47" s="18">
        <v>40.1</v>
      </c>
      <c r="K47" s="18">
        <v>39.1</v>
      </c>
    </row>
    <row r="48" spans="1:11" ht="106.5" thickTop="1" thickBot="1" x14ac:dyDescent="0.3">
      <c r="A48" s="4">
        <v>25</v>
      </c>
      <c r="B48" s="4" t="s">
        <v>228</v>
      </c>
      <c r="C48" s="4" t="s">
        <v>229</v>
      </c>
      <c r="D48" s="4" t="s">
        <v>70</v>
      </c>
      <c r="E48" s="4" t="s">
        <v>234</v>
      </c>
      <c r="F48" s="4">
        <v>2024</v>
      </c>
      <c r="G48" s="4"/>
      <c r="H48" s="4">
        <v>2</v>
      </c>
      <c r="I48" s="4">
        <v>0</v>
      </c>
      <c r="J48" s="4">
        <v>34</v>
      </c>
      <c r="K48" s="4">
        <v>40</v>
      </c>
    </row>
    <row r="49" spans="1:11" ht="61.5" thickTop="1" thickBot="1" x14ac:dyDescent="0.3">
      <c r="A49" s="8">
        <v>27</v>
      </c>
      <c r="B49" s="8" t="s">
        <v>238</v>
      </c>
      <c r="C49" s="8" t="s">
        <v>239</v>
      </c>
      <c r="D49" s="8" t="s">
        <v>70</v>
      </c>
      <c r="E49" s="8" t="s">
        <v>241</v>
      </c>
      <c r="F49" s="8"/>
      <c r="G49" s="8"/>
      <c r="H49" s="8">
        <v>3</v>
      </c>
      <c r="I49" s="8"/>
      <c r="J49" s="8">
        <v>9</v>
      </c>
      <c r="K49" s="8">
        <v>43</v>
      </c>
    </row>
    <row r="50" spans="1:11" ht="90.75" thickTop="1" x14ac:dyDescent="0.25">
      <c r="A50" s="16">
        <v>30</v>
      </c>
      <c r="B50" s="16" t="s">
        <v>257</v>
      </c>
      <c r="C50" s="16" t="s">
        <v>258</v>
      </c>
      <c r="D50" s="16" t="s">
        <v>70</v>
      </c>
      <c r="E50" s="16" t="s">
        <v>260</v>
      </c>
      <c r="F50" s="16">
        <v>2025</v>
      </c>
      <c r="G50" s="16"/>
      <c r="H50" s="16">
        <v>1</v>
      </c>
      <c r="I50" s="16">
        <v>0</v>
      </c>
      <c r="J50" s="16">
        <v>49</v>
      </c>
      <c r="K50" s="16">
        <v>46</v>
      </c>
    </row>
    <row r="51" spans="1:11" ht="60" x14ac:dyDescent="0.25">
      <c r="A51" s="18">
        <v>30.1</v>
      </c>
      <c r="B51" s="18" t="s">
        <v>257</v>
      </c>
      <c r="C51" s="18" t="s">
        <v>258</v>
      </c>
      <c r="D51" s="18" t="s">
        <v>131</v>
      </c>
      <c r="E51" s="18" t="s">
        <v>265</v>
      </c>
      <c r="F51" s="18"/>
      <c r="G51" s="18"/>
      <c r="H51" s="18"/>
      <c r="I51" s="18"/>
      <c r="J51" s="18">
        <v>49.1</v>
      </c>
      <c r="K51" s="18">
        <v>46.1</v>
      </c>
    </row>
    <row r="52" spans="1:11" ht="60" x14ac:dyDescent="0.25">
      <c r="A52" s="18">
        <v>30.2</v>
      </c>
      <c r="B52" s="18" t="s">
        <v>257</v>
      </c>
      <c r="C52" s="18" t="s">
        <v>258</v>
      </c>
      <c r="D52" s="18" t="s">
        <v>131</v>
      </c>
      <c r="E52" s="18" t="s">
        <v>269</v>
      </c>
      <c r="F52" s="18"/>
      <c r="G52" s="18"/>
      <c r="H52" s="18"/>
      <c r="I52" s="18"/>
      <c r="J52" s="18">
        <v>49.2</v>
      </c>
      <c r="K52" s="18">
        <v>46.2</v>
      </c>
    </row>
    <row r="53" spans="1:11" ht="60" x14ac:dyDescent="0.25">
      <c r="A53" s="18">
        <v>30.3</v>
      </c>
      <c r="B53" s="18" t="s">
        <v>257</v>
      </c>
      <c r="C53" s="18" t="s">
        <v>258</v>
      </c>
      <c r="D53" s="18" t="s">
        <v>131</v>
      </c>
      <c r="E53" s="18" t="s">
        <v>272</v>
      </c>
      <c r="F53" s="18"/>
      <c r="G53" s="18"/>
      <c r="H53" s="18"/>
      <c r="I53" s="18"/>
      <c r="J53" s="18">
        <v>49.3</v>
      </c>
      <c r="K53" s="18">
        <v>46.3</v>
      </c>
    </row>
    <row r="54" spans="1:11" ht="60" x14ac:dyDescent="0.25">
      <c r="A54" s="18">
        <v>30.4</v>
      </c>
      <c r="B54" s="18" t="s">
        <v>257</v>
      </c>
      <c r="C54" s="18" t="s">
        <v>258</v>
      </c>
      <c r="D54" s="18" t="s">
        <v>70</v>
      </c>
      <c r="E54" s="18" t="s">
        <v>273</v>
      </c>
      <c r="F54" s="18">
        <v>2024</v>
      </c>
      <c r="G54" s="18"/>
      <c r="H54" s="18">
        <v>1</v>
      </c>
      <c r="I54" s="18">
        <v>1</v>
      </c>
      <c r="J54" s="18">
        <v>32</v>
      </c>
      <c r="K54" s="18">
        <v>47</v>
      </c>
    </row>
    <row r="55" spans="1:11" ht="60" x14ac:dyDescent="0.25">
      <c r="A55" s="18">
        <v>30.5</v>
      </c>
      <c r="B55" s="18" t="s">
        <v>257</v>
      </c>
      <c r="C55" s="18" t="s">
        <v>258</v>
      </c>
      <c r="D55" s="18" t="s">
        <v>191</v>
      </c>
      <c r="E55" s="18" t="s">
        <v>277</v>
      </c>
      <c r="F55" s="18">
        <v>2024</v>
      </c>
      <c r="G55" s="18"/>
      <c r="H55" s="18">
        <v>1</v>
      </c>
      <c r="I55" s="18"/>
      <c r="J55" s="18">
        <v>32.1</v>
      </c>
      <c r="K55" s="18">
        <v>47.1</v>
      </c>
    </row>
    <row r="56" spans="1:11" ht="75" x14ac:dyDescent="0.25">
      <c r="A56" s="18">
        <v>30.6</v>
      </c>
      <c r="B56" s="18" t="s">
        <v>257</v>
      </c>
      <c r="C56" s="18" t="s">
        <v>258</v>
      </c>
      <c r="D56" s="18" t="s">
        <v>191</v>
      </c>
      <c r="E56" s="18" t="s">
        <v>281</v>
      </c>
      <c r="F56" s="18">
        <v>2024</v>
      </c>
      <c r="G56" s="18"/>
      <c r="H56" s="18">
        <v>1</v>
      </c>
      <c r="I56" s="18"/>
      <c r="J56" s="18">
        <v>32.200000000000003</v>
      </c>
      <c r="K56" s="18">
        <v>47.2</v>
      </c>
    </row>
    <row r="57" spans="1:11" ht="75.75" thickBot="1" x14ac:dyDescent="0.3">
      <c r="A57" s="18">
        <v>30.7</v>
      </c>
      <c r="B57" s="18" t="s">
        <v>257</v>
      </c>
      <c r="C57" s="18" t="s">
        <v>258</v>
      </c>
      <c r="D57" s="18" t="s">
        <v>191</v>
      </c>
      <c r="E57" s="18" t="s">
        <v>285</v>
      </c>
      <c r="F57" s="18">
        <v>2023</v>
      </c>
      <c r="G57" s="18"/>
      <c r="H57" s="18">
        <v>1</v>
      </c>
      <c r="I57" s="18"/>
      <c r="J57" s="18">
        <v>32.299999999999997</v>
      </c>
      <c r="K57" s="18">
        <v>47.3</v>
      </c>
    </row>
    <row r="58" spans="1:11" ht="15.75" thickTop="1" x14ac:dyDescent="0.25">
      <c r="A58" s="34"/>
      <c r="B58" s="34"/>
      <c r="C58" s="34"/>
      <c r="D58" s="34"/>
      <c r="E58" s="34"/>
      <c r="F58" s="34"/>
      <c r="G58" s="34"/>
      <c r="H58" s="34"/>
      <c r="I58" s="34"/>
      <c r="J58" s="34"/>
      <c r="K58" s="34"/>
    </row>
  </sheetData>
  <conditionalFormatting sqref="E1:E57">
    <cfRule type="duplicateValues" dxfId="1" priority="7"/>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AAC0B-2A61-41FE-87B3-77F22BDFF7F8}">
  <dimension ref="A1:O17"/>
  <sheetViews>
    <sheetView tabSelected="1" workbookViewId="0">
      <pane xSplit="2" ySplit="1" topLeftCell="C2" activePane="bottomRight" state="frozen"/>
      <selection pane="topRight" activeCell="C1" sqref="C1"/>
      <selection pane="bottomLeft" activeCell="A2" sqref="A2"/>
      <selection pane="bottomRight" activeCell="E6" sqref="E6"/>
    </sheetView>
  </sheetViews>
  <sheetFormatPr defaultRowHeight="15" x14ac:dyDescent="0.25"/>
  <cols>
    <col min="1" max="1" width="7.28515625" customWidth="1"/>
    <col min="2" max="2" width="21.42578125" customWidth="1"/>
    <col min="3" max="3" width="36.7109375" customWidth="1"/>
    <col min="4" max="4" width="16.42578125" customWidth="1"/>
    <col min="5" max="5" width="25.140625" customWidth="1"/>
    <col min="6" max="6" width="27.5703125" customWidth="1"/>
    <col min="7" max="7" width="9.7109375" customWidth="1"/>
    <col min="8" max="8" width="13.140625" customWidth="1"/>
    <col min="9" max="9" width="15.28515625" customWidth="1"/>
    <col min="10" max="10" width="18.140625" customWidth="1"/>
    <col min="11" max="11" width="28.140625" customWidth="1"/>
    <col min="12" max="12" width="23.85546875" customWidth="1"/>
    <col min="13" max="13" width="27.28515625" customWidth="1"/>
    <col min="14" max="14" width="9.7109375" customWidth="1"/>
    <col min="15" max="15" width="7.28515625" customWidth="1"/>
  </cols>
  <sheetData>
    <row r="1" spans="1:15" ht="45.75" thickBot="1" x14ac:dyDescent="0.3">
      <c r="A1" s="1" t="s">
        <v>0</v>
      </c>
      <c r="B1" s="1" t="s">
        <v>1</v>
      </c>
      <c r="C1" s="1" t="s">
        <v>2</v>
      </c>
      <c r="D1" s="1" t="s">
        <v>22</v>
      </c>
      <c r="E1" s="1" t="s">
        <v>23</v>
      </c>
      <c r="F1" s="1" t="s">
        <v>24</v>
      </c>
      <c r="G1" s="1" t="s">
        <v>25</v>
      </c>
      <c r="H1" s="3" t="s">
        <v>26</v>
      </c>
      <c r="I1" s="1" t="s">
        <v>27</v>
      </c>
      <c r="J1" s="1" t="s">
        <v>28</v>
      </c>
      <c r="K1" s="1" t="s">
        <v>29</v>
      </c>
      <c r="L1" s="2" t="s">
        <v>30</v>
      </c>
      <c r="M1" s="1" t="s">
        <v>31</v>
      </c>
      <c r="N1" s="1" t="s">
        <v>32</v>
      </c>
      <c r="O1" s="1" t="s">
        <v>33</v>
      </c>
    </row>
    <row r="2" spans="1:15" ht="60.75" thickTop="1" x14ac:dyDescent="0.25">
      <c r="A2" s="4">
        <v>7</v>
      </c>
      <c r="B2" s="4" t="s">
        <v>94</v>
      </c>
      <c r="C2" s="4" t="s">
        <v>95</v>
      </c>
      <c r="D2" s="4" t="s">
        <v>200</v>
      </c>
      <c r="E2" s="4" t="s">
        <v>288</v>
      </c>
      <c r="F2" s="4" t="s">
        <v>101</v>
      </c>
      <c r="G2" s="4">
        <v>2022</v>
      </c>
      <c r="H2" s="4" t="s">
        <v>276</v>
      </c>
      <c r="I2" s="4" t="s">
        <v>99</v>
      </c>
      <c r="J2" s="4"/>
      <c r="K2" s="4"/>
      <c r="L2" s="5">
        <v>250000</v>
      </c>
      <c r="M2" s="4" t="s">
        <v>102</v>
      </c>
      <c r="N2" s="4">
        <v>10</v>
      </c>
      <c r="O2" s="4">
        <v>10</v>
      </c>
    </row>
    <row r="3" spans="1:15" ht="45.75" thickBot="1" x14ac:dyDescent="0.3">
      <c r="A3" s="22">
        <v>7.1</v>
      </c>
      <c r="B3" s="22" t="s">
        <v>94</v>
      </c>
      <c r="C3" s="22" t="s">
        <v>95</v>
      </c>
      <c r="D3" s="22" t="s">
        <v>200</v>
      </c>
      <c r="E3" s="22" t="s">
        <v>289</v>
      </c>
      <c r="F3" s="22" t="s">
        <v>104</v>
      </c>
      <c r="G3" s="22">
        <v>2022</v>
      </c>
      <c r="H3" s="22" t="s">
        <v>203</v>
      </c>
      <c r="I3" s="22" t="s">
        <v>99</v>
      </c>
      <c r="J3" s="22"/>
      <c r="K3" s="22"/>
      <c r="L3" s="23">
        <v>100000</v>
      </c>
      <c r="M3" s="22"/>
      <c r="N3" s="22">
        <v>10.1</v>
      </c>
      <c r="O3" s="22">
        <v>10.1</v>
      </c>
    </row>
    <row r="4" spans="1:15" ht="46.5" thickTop="1" thickBot="1" x14ac:dyDescent="0.3">
      <c r="A4" s="8">
        <v>9</v>
      </c>
      <c r="B4" s="8" t="s">
        <v>112</v>
      </c>
      <c r="C4" s="8" t="s">
        <v>113</v>
      </c>
      <c r="D4" s="8" t="s">
        <v>119</v>
      </c>
      <c r="E4" s="8" t="s">
        <v>120</v>
      </c>
      <c r="F4" s="8" t="s">
        <v>121</v>
      </c>
      <c r="G4" s="8">
        <v>2024</v>
      </c>
      <c r="H4" s="8" t="s">
        <v>122</v>
      </c>
      <c r="I4" s="8" t="s">
        <v>117</v>
      </c>
      <c r="J4" s="8" t="s">
        <v>123</v>
      </c>
      <c r="K4" s="8"/>
      <c r="L4" s="9"/>
      <c r="M4" s="8"/>
      <c r="N4" s="8">
        <v>38</v>
      </c>
      <c r="O4" s="8">
        <v>12</v>
      </c>
    </row>
    <row r="5" spans="1:15" ht="121.5" thickTop="1" thickBot="1" x14ac:dyDescent="0.3">
      <c r="A5" s="6">
        <v>14</v>
      </c>
      <c r="B5" s="6" t="s">
        <v>157</v>
      </c>
      <c r="C5" s="6" t="s">
        <v>158</v>
      </c>
      <c r="D5" s="6" t="s">
        <v>119</v>
      </c>
      <c r="E5" s="6" t="s">
        <v>162</v>
      </c>
      <c r="F5" s="6" t="s">
        <v>163</v>
      </c>
      <c r="G5" s="6">
        <v>2023</v>
      </c>
      <c r="H5" s="6" t="s">
        <v>164</v>
      </c>
      <c r="I5" s="6" t="s">
        <v>165</v>
      </c>
      <c r="J5" s="6" t="s">
        <v>166</v>
      </c>
      <c r="K5" s="6"/>
      <c r="L5" s="7">
        <v>6000</v>
      </c>
      <c r="M5" s="6" t="s">
        <v>167</v>
      </c>
      <c r="N5" s="6">
        <v>13</v>
      </c>
      <c r="O5" s="6">
        <v>21</v>
      </c>
    </row>
    <row r="6" spans="1:15" ht="136.5" thickTop="1" thickBot="1" x14ac:dyDescent="0.3">
      <c r="A6" s="10">
        <v>22</v>
      </c>
      <c r="B6" s="10" t="s">
        <v>195</v>
      </c>
      <c r="C6" s="10" t="s">
        <v>196</v>
      </c>
      <c r="D6" s="10" t="s">
        <v>200</v>
      </c>
      <c r="E6" s="10" t="s">
        <v>201</v>
      </c>
      <c r="F6" s="10" t="s">
        <v>202</v>
      </c>
      <c r="G6" s="10">
        <v>2024</v>
      </c>
      <c r="H6" s="10" t="s">
        <v>203</v>
      </c>
      <c r="I6" s="10" t="s">
        <v>99</v>
      </c>
      <c r="J6" s="10" t="s">
        <v>204</v>
      </c>
      <c r="K6" s="10"/>
      <c r="L6" s="11">
        <v>198167</v>
      </c>
      <c r="M6" s="10"/>
      <c r="N6" s="10">
        <v>46</v>
      </c>
      <c r="O6" s="10">
        <v>33</v>
      </c>
    </row>
    <row r="7" spans="1:15" ht="60.75" thickTop="1" x14ac:dyDescent="0.25">
      <c r="A7" s="14">
        <v>29</v>
      </c>
      <c r="B7" s="14" t="s">
        <v>247</v>
      </c>
      <c r="C7" s="14" t="s">
        <v>248</v>
      </c>
      <c r="D7" s="14" t="s">
        <v>119</v>
      </c>
      <c r="E7" s="14" t="s">
        <v>251</v>
      </c>
      <c r="F7" s="14" t="s">
        <v>252</v>
      </c>
      <c r="G7" s="14">
        <v>2021</v>
      </c>
      <c r="H7" s="14"/>
      <c r="I7" s="14" t="s">
        <v>253</v>
      </c>
      <c r="J7" s="14" t="s">
        <v>166</v>
      </c>
      <c r="K7" s="14"/>
      <c r="L7" s="15">
        <v>4500</v>
      </c>
      <c r="M7" s="14"/>
      <c r="N7" s="14">
        <v>5</v>
      </c>
      <c r="O7" s="14">
        <v>45</v>
      </c>
    </row>
    <row r="8" spans="1:15" ht="60.75" thickBot="1" x14ac:dyDescent="0.3">
      <c r="A8" s="32">
        <v>29.1</v>
      </c>
      <c r="B8" s="32" t="s">
        <v>247</v>
      </c>
      <c r="C8" s="32" t="s">
        <v>248</v>
      </c>
      <c r="D8" s="32" t="s">
        <v>254</v>
      </c>
      <c r="E8" s="32" t="s">
        <v>251</v>
      </c>
      <c r="F8" s="32" t="s">
        <v>255</v>
      </c>
      <c r="G8" s="32">
        <v>2021</v>
      </c>
      <c r="H8" s="32"/>
      <c r="I8" s="32" t="s">
        <v>256</v>
      </c>
      <c r="J8" s="32" t="s">
        <v>166</v>
      </c>
      <c r="K8" s="32"/>
      <c r="L8" s="33"/>
      <c r="M8" s="32"/>
      <c r="N8" s="32">
        <v>5.0999999999999996</v>
      </c>
      <c r="O8" s="32">
        <v>45.1</v>
      </c>
    </row>
    <row r="9" spans="1:15" ht="75.75" thickTop="1" x14ac:dyDescent="0.25">
      <c r="A9" s="16">
        <v>30</v>
      </c>
      <c r="B9" s="16" t="s">
        <v>257</v>
      </c>
      <c r="C9" s="16" t="s">
        <v>258</v>
      </c>
      <c r="D9" s="16" t="s">
        <v>119</v>
      </c>
      <c r="E9" s="16" t="s">
        <v>261</v>
      </c>
      <c r="F9" s="16" t="s">
        <v>262</v>
      </c>
      <c r="G9" s="16">
        <v>2024</v>
      </c>
      <c r="H9" s="16" t="s">
        <v>164</v>
      </c>
      <c r="I9" s="16" t="s">
        <v>263</v>
      </c>
      <c r="J9" s="16" t="s">
        <v>166</v>
      </c>
      <c r="K9" s="16"/>
      <c r="L9" s="17">
        <v>250</v>
      </c>
      <c r="M9" s="16" t="s">
        <v>264</v>
      </c>
      <c r="N9" s="16">
        <v>49</v>
      </c>
      <c r="O9" s="16">
        <v>46</v>
      </c>
    </row>
    <row r="10" spans="1:15" ht="60" x14ac:dyDescent="0.25">
      <c r="A10" s="18">
        <v>30.1</v>
      </c>
      <c r="B10" s="18" t="s">
        <v>257</v>
      </c>
      <c r="C10" s="18" t="s">
        <v>258</v>
      </c>
      <c r="D10" s="18" t="s">
        <v>119</v>
      </c>
      <c r="E10" s="18"/>
      <c r="F10" s="18" t="s">
        <v>266</v>
      </c>
      <c r="G10" s="18">
        <v>2024</v>
      </c>
      <c r="H10" s="18" t="s">
        <v>267</v>
      </c>
      <c r="I10" s="18" t="s">
        <v>263</v>
      </c>
      <c r="J10" s="18" t="s">
        <v>166</v>
      </c>
      <c r="K10" s="18"/>
      <c r="L10" s="19"/>
      <c r="M10" s="18" t="s">
        <v>268</v>
      </c>
      <c r="N10" s="18">
        <v>49.1</v>
      </c>
      <c r="O10" s="18">
        <v>46.1</v>
      </c>
    </row>
    <row r="11" spans="1:15" ht="75" x14ac:dyDescent="0.25">
      <c r="A11" s="18">
        <v>30.2</v>
      </c>
      <c r="B11" s="18" t="s">
        <v>257</v>
      </c>
      <c r="C11" s="18" t="s">
        <v>258</v>
      </c>
      <c r="D11" s="18" t="s">
        <v>119</v>
      </c>
      <c r="E11" s="18" t="s">
        <v>270</v>
      </c>
      <c r="F11" s="18" t="s">
        <v>271</v>
      </c>
      <c r="G11" s="18">
        <v>2024</v>
      </c>
      <c r="H11" s="18"/>
      <c r="I11" s="18" t="s">
        <v>259</v>
      </c>
      <c r="J11" s="18" t="s">
        <v>204</v>
      </c>
      <c r="K11" s="18"/>
      <c r="L11" s="19"/>
      <c r="M11" s="18"/>
      <c r="N11" s="18">
        <v>49.2</v>
      </c>
      <c r="O11" s="18">
        <v>46.2</v>
      </c>
    </row>
    <row r="12" spans="1:15" ht="60" x14ac:dyDescent="0.25">
      <c r="A12" s="18">
        <v>30.3</v>
      </c>
      <c r="B12" s="18" t="s">
        <v>257</v>
      </c>
      <c r="C12" s="18" t="s">
        <v>258</v>
      </c>
      <c r="D12" s="18"/>
      <c r="E12" s="18"/>
      <c r="F12" s="18"/>
      <c r="G12" s="18"/>
      <c r="H12" s="18"/>
      <c r="I12" s="18"/>
      <c r="J12" s="18"/>
      <c r="K12" s="18"/>
      <c r="L12" s="19"/>
      <c r="M12" s="18"/>
      <c r="N12" s="18">
        <v>49.3</v>
      </c>
      <c r="O12" s="18">
        <v>46.3</v>
      </c>
    </row>
    <row r="13" spans="1:15" ht="60" x14ac:dyDescent="0.25">
      <c r="A13" s="18">
        <v>30.4</v>
      </c>
      <c r="B13" s="18" t="s">
        <v>257</v>
      </c>
      <c r="C13" s="18" t="s">
        <v>258</v>
      </c>
      <c r="D13" s="18" t="s">
        <v>119</v>
      </c>
      <c r="E13" s="18" t="s">
        <v>274</v>
      </c>
      <c r="F13" s="18" t="s">
        <v>275</v>
      </c>
      <c r="G13" s="18">
        <v>2021</v>
      </c>
      <c r="H13" s="18" t="s">
        <v>276</v>
      </c>
      <c r="I13" s="18" t="s">
        <v>263</v>
      </c>
      <c r="J13" s="18" t="s">
        <v>166</v>
      </c>
      <c r="K13" s="18"/>
      <c r="L13" s="19">
        <v>1000</v>
      </c>
      <c r="M13" s="18"/>
      <c r="N13" s="18">
        <v>32</v>
      </c>
      <c r="O13" s="18">
        <v>47</v>
      </c>
    </row>
    <row r="14" spans="1:15" ht="60" x14ac:dyDescent="0.25">
      <c r="A14" s="18">
        <v>30.5</v>
      </c>
      <c r="B14" s="18" t="s">
        <v>257</v>
      </c>
      <c r="C14" s="18" t="s">
        <v>258</v>
      </c>
      <c r="D14" s="18" t="s">
        <v>200</v>
      </c>
      <c r="E14" s="18" t="s">
        <v>278</v>
      </c>
      <c r="F14" s="18" t="s">
        <v>279</v>
      </c>
      <c r="G14" s="18">
        <v>2021</v>
      </c>
      <c r="H14" s="18" t="s">
        <v>276</v>
      </c>
      <c r="I14" s="18" t="s">
        <v>263</v>
      </c>
      <c r="J14" s="18" t="s">
        <v>166</v>
      </c>
      <c r="K14" s="18"/>
      <c r="L14" s="19">
        <v>500</v>
      </c>
      <c r="M14" s="18" t="s">
        <v>280</v>
      </c>
      <c r="N14" s="18">
        <v>32.1</v>
      </c>
      <c r="O14" s="18">
        <v>47.1</v>
      </c>
    </row>
    <row r="15" spans="1:15" ht="60" x14ac:dyDescent="0.25">
      <c r="A15" s="18">
        <v>30.6</v>
      </c>
      <c r="B15" s="18" t="s">
        <v>257</v>
      </c>
      <c r="C15" s="18" t="s">
        <v>258</v>
      </c>
      <c r="D15" s="18" t="s">
        <v>200</v>
      </c>
      <c r="E15" s="18" t="s">
        <v>282</v>
      </c>
      <c r="F15" s="18" t="s">
        <v>283</v>
      </c>
      <c r="G15" s="18">
        <v>2022</v>
      </c>
      <c r="H15" s="18" t="s">
        <v>164</v>
      </c>
      <c r="I15" s="18" t="s">
        <v>263</v>
      </c>
      <c r="J15" s="18" t="s">
        <v>166</v>
      </c>
      <c r="K15" s="18"/>
      <c r="L15" s="19">
        <v>4965</v>
      </c>
      <c r="M15" s="18" t="s">
        <v>284</v>
      </c>
      <c r="N15" s="18">
        <v>32.200000000000003</v>
      </c>
      <c r="O15" s="18">
        <v>47.2</v>
      </c>
    </row>
    <row r="16" spans="1:15" ht="75.75" thickBot="1" x14ac:dyDescent="0.3">
      <c r="A16" s="18">
        <v>30.7</v>
      </c>
      <c r="B16" s="18" t="s">
        <v>257</v>
      </c>
      <c r="C16" s="18" t="s">
        <v>258</v>
      </c>
      <c r="D16" s="18" t="s">
        <v>200</v>
      </c>
      <c r="E16" s="18" t="s">
        <v>278</v>
      </c>
      <c r="F16" s="18" t="s">
        <v>286</v>
      </c>
      <c r="G16" s="18">
        <v>2023</v>
      </c>
      <c r="H16" s="18" t="s">
        <v>267</v>
      </c>
      <c r="I16" s="18" t="s">
        <v>263</v>
      </c>
      <c r="J16" s="18" t="s">
        <v>166</v>
      </c>
      <c r="K16" s="18"/>
      <c r="L16" s="19">
        <v>500</v>
      </c>
      <c r="M16" s="18" t="s">
        <v>287</v>
      </c>
      <c r="N16" s="18">
        <v>32.299999999999997</v>
      </c>
      <c r="O16" s="18">
        <v>47.3</v>
      </c>
    </row>
    <row r="17" spans="1:15" ht="15.75" thickTop="1" x14ac:dyDescent="0.25">
      <c r="A17" s="34"/>
      <c r="B17" s="34"/>
      <c r="C17" s="34"/>
      <c r="D17" s="34"/>
      <c r="E17" s="34"/>
      <c r="F17" s="34"/>
      <c r="G17" s="34"/>
      <c r="H17" s="34"/>
      <c r="I17" s="34"/>
      <c r="J17" s="34"/>
      <c r="K17" s="34"/>
      <c r="L17" s="34"/>
      <c r="M17" s="34"/>
      <c r="N17" s="34"/>
      <c r="O17" s="3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E9A6A-0EE0-46E6-B907-518876E35B49}">
  <dimension ref="A1:AH67"/>
  <sheetViews>
    <sheetView workbookViewId="0">
      <pane xSplit="2" ySplit="1" topLeftCell="U11" activePane="bottomRight" state="frozen"/>
      <selection pane="topRight" activeCell="C1" sqref="C1"/>
      <selection pane="bottomLeft" activeCell="A2" sqref="A2"/>
      <selection pane="bottomRight" activeCell="V16" sqref="V16"/>
    </sheetView>
  </sheetViews>
  <sheetFormatPr defaultRowHeight="15" x14ac:dyDescent="0.25"/>
  <cols>
    <col min="1" max="1" width="7.28515625" customWidth="1"/>
    <col min="2" max="2" width="21.42578125" customWidth="1"/>
    <col min="3" max="3" width="36.7109375" customWidth="1"/>
    <col min="4" max="4" width="19.140625" customWidth="1"/>
    <col min="5" max="5" width="14.7109375" customWidth="1"/>
    <col min="6" max="6" width="17" customWidth="1"/>
    <col min="7" max="9" width="19.42578125" customWidth="1"/>
    <col min="10" max="10" width="18.42578125" customWidth="1"/>
    <col min="11" max="11" width="26" customWidth="1"/>
    <col min="12" max="16" width="15.42578125" customWidth="1"/>
    <col min="17" max="17" width="18.28515625" customWidth="1"/>
    <col min="18" max="18" width="54.85546875" customWidth="1"/>
    <col min="19" max="19" width="12" customWidth="1"/>
    <col min="20" max="20" width="27.5703125" customWidth="1"/>
    <col min="21" max="22" width="13.28515625" customWidth="1"/>
    <col min="23" max="23" width="16.42578125" customWidth="1"/>
    <col min="24" max="24" width="25.140625" customWidth="1"/>
    <col min="25" max="25" width="27.5703125" customWidth="1"/>
    <col min="26" max="26" width="9.7109375" customWidth="1"/>
    <col min="27" max="27" width="13.140625" customWidth="1"/>
    <col min="28" max="28" width="15.28515625" customWidth="1"/>
    <col min="29" max="29" width="18.140625" customWidth="1"/>
    <col min="30" max="30" width="28.140625" customWidth="1"/>
    <col min="31" max="31" width="23.85546875" customWidth="1"/>
    <col min="32" max="32" width="27.28515625" customWidth="1"/>
    <col min="33" max="33" width="9.7109375" customWidth="1"/>
    <col min="34" max="34" width="7.28515625" customWidth="1"/>
  </cols>
  <sheetData>
    <row r="1" spans="1:34" ht="75.75" thickBot="1" x14ac:dyDescent="0.3">
      <c r="A1" s="1" t="s">
        <v>0</v>
      </c>
      <c r="B1" s="1" t="s">
        <v>1</v>
      </c>
      <c r="C1" s="1" t="s">
        <v>2</v>
      </c>
      <c r="D1" s="1" t="s">
        <v>3</v>
      </c>
      <c r="E1" s="2"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3" t="s">
        <v>26</v>
      </c>
      <c r="AB1" s="1" t="s">
        <v>27</v>
      </c>
      <c r="AC1" s="1" t="s">
        <v>28</v>
      </c>
      <c r="AD1" s="1" t="s">
        <v>29</v>
      </c>
      <c r="AE1" s="2" t="s">
        <v>30</v>
      </c>
      <c r="AF1" s="1" t="s">
        <v>31</v>
      </c>
      <c r="AG1" s="1" t="s">
        <v>32</v>
      </c>
      <c r="AH1" s="1" t="s">
        <v>33</v>
      </c>
    </row>
    <row r="2" spans="1:34" ht="61.5" thickTop="1" thickBot="1" x14ac:dyDescent="0.3">
      <c r="A2" s="4">
        <v>1</v>
      </c>
      <c r="B2" s="4" t="s">
        <v>34</v>
      </c>
      <c r="C2" s="4" t="s">
        <v>35</v>
      </c>
      <c r="D2" s="4" t="s">
        <v>36</v>
      </c>
      <c r="E2" s="5">
        <v>10000</v>
      </c>
      <c r="F2" s="4" t="s">
        <v>37</v>
      </c>
      <c r="G2" s="4" t="s">
        <v>38</v>
      </c>
      <c r="H2" s="4" t="s">
        <v>39</v>
      </c>
      <c r="I2" s="4" t="s">
        <v>40</v>
      </c>
      <c r="J2" s="4" t="s">
        <v>41</v>
      </c>
      <c r="K2" s="4" t="s">
        <v>42</v>
      </c>
      <c r="L2" s="4">
        <v>0</v>
      </c>
      <c r="M2" s="4">
        <v>0</v>
      </c>
      <c r="N2" s="4">
        <v>1</v>
      </c>
      <c r="O2" s="4">
        <v>0</v>
      </c>
      <c r="P2" s="4">
        <v>0</v>
      </c>
      <c r="Q2" s="4"/>
      <c r="R2" s="4"/>
      <c r="S2" s="4"/>
      <c r="T2" s="4"/>
      <c r="U2" s="4"/>
      <c r="V2" s="4"/>
      <c r="W2" s="4"/>
      <c r="X2" s="4"/>
      <c r="Y2" s="4"/>
      <c r="Z2" s="4"/>
      <c r="AA2" s="4"/>
      <c r="AB2" s="4"/>
      <c r="AC2" s="4"/>
      <c r="AD2" s="4"/>
      <c r="AE2" s="5"/>
      <c r="AF2" s="4"/>
      <c r="AG2" s="4">
        <v>1</v>
      </c>
      <c r="AH2" s="4">
        <v>1</v>
      </c>
    </row>
    <row r="3" spans="1:34" ht="46.5" thickTop="1" thickBot="1" x14ac:dyDescent="0.3">
      <c r="A3" s="6">
        <v>2</v>
      </c>
      <c r="B3" s="6" t="s">
        <v>43</v>
      </c>
      <c r="C3" s="6" t="s">
        <v>44</v>
      </c>
      <c r="D3" s="6" t="s">
        <v>36</v>
      </c>
      <c r="E3" s="7">
        <v>10000</v>
      </c>
      <c r="F3" s="6" t="s">
        <v>45</v>
      </c>
      <c r="G3" s="6" t="s">
        <v>46</v>
      </c>
      <c r="H3" s="6" t="s">
        <v>47</v>
      </c>
      <c r="I3" s="6" t="s">
        <v>48</v>
      </c>
      <c r="J3" s="6" t="s">
        <v>49</v>
      </c>
      <c r="K3" s="6" t="s">
        <v>50</v>
      </c>
      <c r="L3" s="6">
        <v>1</v>
      </c>
      <c r="M3" s="6">
        <v>0</v>
      </c>
      <c r="N3" s="6">
        <v>1</v>
      </c>
      <c r="O3" s="6">
        <v>0</v>
      </c>
      <c r="P3" s="6">
        <v>2</v>
      </c>
      <c r="Q3" s="6"/>
      <c r="R3" s="6"/>
      <c r="S3" s="6"/>
      <c r="T3" s="6"/>
      <c r="U3" s="6"/>
      <c r="V3" s="6"/>
      <c r="W3" s="6"/>
      <c r="X3" s="6"/>
      <c r="Y3" s="6"/>
      <c r="Z3" s="6"/>
      <c r="AA3" s="6"/>
      <c r="AB3" s="6"/>
      <c r="AC3" s="6"/>
      <c r="AD3" s="6"/>
      <c r="AE3" s="7"/>
      <c r="AF3" s="6"/>
      <c r="AG3" s="6">
        <v>14</v>
      </c>
      <c r="AH3" s="6">
        <v>2</v>
      </c>
    </row>
    <row r="4" spans="1:34" ht="76.5" thickTop="1" thickBot="1" x14ac:dyDescent="0.3">
      <c r="A4" s="8">
        <v>3</v>
      </c>
      <c r="B4" s="8" t="s">
        <v>51</v>
      </c>
      <c r="C4" s="8" t="s">
        <v>52</v>
      </c>
      <c r="D4" s="8" t="s">
        <v>36</v>
      </c>
      <c r="E4" s="9">
        <v>20000</v>
      </c>
      <c r="F4" s="8" t="s">
        <v>53</v>
      </c>
      <c r="G4" s="8" t="s">
        <v>54</v>
      </c>
      <c r="H4" s="8" t="s">
        <v>55</v>
      </c>
      <c r="I4" s="8" t="s">
        <v>56</v>
      </c>
      <c r="J4" s="8" t="s">
        <v>57</v>
      </c>
      <c r="K4" s="8" t="s">
        <v>58</v>
      </c>
      <c r="L4" s="8">
        <v>1</v>
      </c>
      <c r="M4" s="8">
        <v>0</v>
      </c>
      <c r="N4" s="8">
        <v>2</v>
      </c>
      <c r="O4" s="8">
        <v>0</v>
      </c>
      <c r="P4" s="8">
        <v>0</v>
      </c>
      <c r="Q4" s="8" t="s">
        <v>59</v>
      </c>
      <c r="R4" s="8" t="s">
        <v>60</v>
      </c>
      <c r="S4" s="8">
        <v>2023</v>
      </c>
      <c r="T4" s="8"/>
      <c r="U4" s="8">
        <v>1</v>
      </c>
      <c r="V4" s="8">
        <v>0</v>
      </c>
      <c r="W4" s="8"/>
      <c r="X4" s="8"/>
      <c r="Y4" s="8"/>
      <c r="Z4" s="8"/>
      <c r="AA4" s="8"/>
      <c r="AB4" s="8"/>
      <c r="AC4" s="8"/>
      <c r="AD4" s="8"/>
      <c r="AE4" s="9"/>
      <c r="AF4" s="8"/>
      <c r="AG4" s="8">
        <v>12</v>
      </c>
      <c r="AH4" s="8">
        <v>3</v>
      </c>
    </row>
    <row r="5" spans="1:34" ht="60.75" thickTop="1" x14ac:dyDescent="0.25">
      <c r="A5" s="10">
        <v>4</v>
      </c>
      <c r="B5" s="10" t="s">
        <v>61</v>
      </c>
      <c r="C5" s="10" t="s">
        <v>62</v>
      </c>
      <c r="D5" s="10" t="s">
        <v>36</v>
      </c>
      <c r="E5" s="11">
        <v>10000</v>
      </c>
      <c r="F5" s="10" t="s">
        <v>63</v>
      </c>
      <c r="G5" s="10" t="s">
        <v>64</v>
      </c>
      <c r="H5" s="10" t="s">
        <v>65</v>
      </c>
      <c r="I5" s="10" t="s">
        <v>66</v>
      </c>
      <c r="J5" s="10" t="s">
        <v>67</v>
      </c>
      <c r="K5" s="10"/>
      <c r="L5" s="10">
        <v>1</v>
      </c>
      <c r="M5" s="10">
        <v>1</v>
      </c>
      <c r="N5" s="10">
        <v>0</v>
      </c>
      <c r="O5" s="10">
        <v>0</v>
      </c>
      <c r="P5" s="10">
        <v>0</v>
      </c>
      <c r="Q5" s="10" t="s">
        <v>68</v>
      </c>
      <c r="R5" s="10" t="s">
        <v>69</v>
      </c>
      <c r="S5" s="10"/>
      <c r="T5" s="10"/>
      <c r="U5" s="10">
        <v>1</v>
      </c>
      <c r="V5" s="10">
        <v>0</v>
      </c>
      <c r="W5" s="10"/>
      <c r="X5" s="10"/>
      <c r="Y5" s="10"/>
      <c r="Z5" s="10"/>
      <c r="AA5" s="10"/>
      <c r="AB5" s="10"/>
      <c r="AC5" s="10"/>
      <c r="AD5" s="10"/>
      <c r="AE5" s="11"/>
      <c r="AF5" s="10"/>
      <c r="AG5" s="10">
        <v>6</v>
      </c>
      <c r="AH5" s="10">
        <v>4</v>
      </c>
    </row>
    <row r="6" spans="1:34" ht="75" x14ac:dyDescent="0.25">
      <c r="A6" s="12">
        <v>4.0999999999999996</v>
      </c>
      <c r="B6" s="12" t="s">
        <v>61</v>
      </c>
      <c r="C6" s="12" t="s">
        <v>62</v>
      </c>
      <c r="D6" s="12"/>
      <c r="E6" s="13"/>
      <c r="F6" s="12"/>
      <c r="G6" s="12"/>
      <c r="H6" s="12"/>
      <c r="I6" s="12"/>
      <c r="J6" s="12"/>
      <c r="K6" s="12"/>
      <c r="L6" s="12"/>
      <c r="M6" s="12"/>
      <c r="N6" s="12"/>
      <c r="O6" s="12"/>
      <c r="P6" s="12"/>
      <c r="Q6" s="12" t="s">
        <v>70</v>
      </c>
      <c r="R6" s="12" t="s">
        <v>71</v>
      </c>
      <c r="S6" s="12"/>
      <c r="T6" s="12"/>
      <c r="U6" s="12">
        <v>1</v>
      </c>
      <c r="V6" s="12">
        <v>0</v>
      </c>
      <c r="W6" s="12"/>
      <c r="X6" s="12"/>
      <c r="Y6" s="12"/>
      <c r="Z6" s="12"/>
      <c r="AA6" s="12"/>
      <c r="AB6" s="12"/>
      <c r="AC6" s="12"/>
      <c r="AD6" s="12"/>
      <c r="AE6" s="13"/>
      <c r="AF6" s="12"/>
      <c r="AG6" s="12">
        <v>6.1</v>
      </c>
      <c r="AH6" s="12">
        <v>4.0999999999999996</v>
      </c>
    </row>
    <row r="7" spans="1:34" ht="60.75" thickBot="1" x14ac:dyDescent="0.3">
      <c r="A7" s="12">
        <v>4.2</v>
      </c>
      <c r="B7" s="12" t="s">
        <v>61</v>
      </c>
      <c r="C7" s="12" t="s">
        <v>62</v>
      </c>
      <c r="D7" s="12"/>
      <c r="E7" s="13"/>
      <c r="F7" s="12"/>
      <c r="G7" s="12"/>
      <c r="H7" s="12"/>
      <c r="I7" s="12"/>
      <c r="J7" s="12"/>
      <c r="K7" s="12"/>
      <c r="L7" s="12"/>
      <c r="M7" s="12"/>
      <c r="N7" s="12"/>
      <c r="O7" s="12"/>
      <c r="P7" s="12"/>
      <c r="Q7" s="12" t="s">
        <v>59</v>
      </c>
      <c r="R7" s="12" t="s">
        <v>72</v>
      </c>
      <c r="S7" s="12"/>
      <c r="T7" s="12"/>
      <c r="U7" s="12">
        <v>1</v>
      </c>
      <c r="V7" s="12">
        <v>0</v>
      </c>
      <c r="W7" s="12"/>
      <c r="X7" s="12"/>
      <c r="Y7" s="12"/>
      <c r="Z7" s="12"/>
      <c r="AA7" s="12"/>
      <c r="AB7" s="12"/>
      <c r="AC7" s="12"/>
      <c r="AD7" s="12"/>
      <c r="AE7" s="13"/>
      <c r="AF7" s="12"/>
      <c r="AG7" s="12">
        <v>6.2</v>
      </c>
      <c r="AH7" s="12">
        <v>4.2</v>
      </c>
    </row>
    <row r="8" spans="1:34" ht="61.5" thickTop="1" thickBot="1" x14ac:dyDescent="0.3">
      <c r="A8" s="14">
        <v>5</v>
      </c>
      <c r="B8" s="14" t="s">
        <v>73</v>
      </c>
      <c r="C8" s="14" t="s">
        <v>74</v>
      </c>
      <c r="D8" s="14" t="s">
        <v>36</v>
      </c>
      <c r="E8" s="15">
        <v>15000</v>
      </c>
      <c r="F8" s="14" t="s">
        <v>63</v>
      </c>
      <c r="G8" s="14" t="s">
        <v>75</v>
      </c>
      <c r="H8" s="14" t="s">
        <v>76</v>
      </c>
      <c r="I8" s="14" t="s">
        <v>77</v>
      </c>
      <c r="J8" s="14" t="s">
        <v>78</v>
      </c>
      <c r="K8" s="14" t="s">
        <v>79</v>
      </c>
      <c r="L8" s="14">
        <v>0</v>
      </c>
      <c r="M8" s="14">
        <v>1</v>
      </c>
      <c r="N8" s="14">
        <v>0</v>
      </c>
      <c r="O8" s="14">
        <v>0</v>
      </c>
      <c r="P8" s="14">
        <v>1</v>
      </c>
      <c r="Q8" s="14" t="s">
        <v>68</v>
      </c>
      <c r="R8" s="14" t="s">
        <v>80</v>
      </c>
      <c r="S8" s="14">
        <v>2025</v>
      </c>
      <c r="T8" s="14"/>
      <c r="U8" s="14">
        <v>1</v>
      </c>
      <c r="V8" s="14">
        <v>0</v>
      </c>
      <c r="W8" s="14"/>
      <c r="X8" s="14"/>
      <c r="Y8" s="14"/>
      <c r="Z8" s="14"/>
      <c r="AA8" s="14"/>
      <c r="AB8" s="14"/>
      <c r="AC8" s="14"/>
      <c r="AD8" s="14"/>
      <c r="AE8" s="15"/>
      <c r="AF8" s="14"/>
      <c r="AG8" s="14">
        <v>39</v>
      </c>
      <c r="AH8" s="14">
        <v>5</v>
      </c>
    </row>
    <row r="9" spans="1:34" ht="45.75" thickTop="1" x14ac:dyDescent="0.25">
      <c r="A9" s="16">
        <v>6</v>
      </c>
      <c r="B9" s="16" t="s">
        <v>81</v>
      </c>
      <c r="C9" s="16" t="s">
        <v>82</v>
      </c>
      <c r="D9" s="16" t="s">
        <v>83</v>
      </c>
      <c r="E9" s="17">
        <v>300000</v>
      </c>
      <c r="F9" s="16" t="s">
        <v>84</v>
      </c>
      <c r="G9" s="16" t="s">
        <v>85</v>
      </c>
      <c r="H9" s="16" t="s">
        <v>86</v>
      </c>
      <c r="I9" s="16" t="s">
        <v>48</v>
      </c>
      <c r="J9" s="16" t="s">
        <v>87</v>
      </c>
      <c r="K9" s="16" t="s">
        <v>88</v>
      </c>
      <c r="L9" s="16">
        <v>7</v>
      </c>
      <c r="M9" s="16">
        <v>0</v>
      </c>
      <c r="N9" s="16">
        <v>1</v>
      </c>
      <c r="O9" s="16">
        <v>1</v>
      </c>
      <c r="P9" s="16">
        <v>1</v>
      </c>
      <c r="Q9" s="16" t="s">
        <v>59</v>
      </c>
      <c r="R9" s="16" t="s">
        <v>89</v>
      </c>
      <c r="S9" s="16"/>
      <c r="T9" s="16" t="s">
        <v>90</v>
      </c>
      <c r="U9" s="16">
        <v>2</v>
      </c>
      <c r="V9" s="16">
        <v>2</v>
      </c>
      <c r="W9" s="16"/>
      <c r="X9" s="16"/>
      <c r="Y9" s="16"/>
      <c r="Z9" s="16"/>
      <c r="AA9" s="16"/>
      <c r="AB9" s="16"/>
      <c r="AC9" s="16"/>
      <c r="AD9" s="16"/>
      <c r="AE9" s="17"/>
      <c r="AF9" s="16"/>
      <c r="AG9" s="16">
        <v>47</v>
      </c>
      <c r="AH9" s="16">
        <v>7</v>
      </c>
    </row>
    <row r="10" spans="1:34" ht="45" x14ac:dyDescent="0.25">
      <c r="A10" s="18">
        <v>6.1</v>
      </c>
      <c r="B10" s="18" t="s">
        <v>81</v>
      </c>
      <c r="C10" s="18" t="s">
        <v>82</v>
      </c>
      <c r="D10" s="18"/>
      <c r="E10" s="19"/>
      <c r="F10" s="18"/>
      <c r="G10" s="18"/>
      <c r="H10" s="18"/>
      <c r="I10" s="18"/>
      <c r="J10" s="18"/>
      <c r="K10" s="18"/>
      <c r="L10" s="18"/>
      <c r="M10" s="18"/>
      <c r="N10" s="18"/>
      <c r="O10" s="18"/>
      <c r="P10" s="18"/>
      <c r="Q10" s="18" t="s">
        <v>70</v>
      </c>
      <c r="R10" s="18" t="s">
        <v>91</v>
      </c>
      <c r="S10" s="18"/>
      <c r="T10" s="18" t="s">
        <v>90</v>
      </c>
      <c r="U10" s="18">
        <v>2</v>
      </c>
      <c r="V10" s="18">
        <v>2</v>
      </c>
      <c r="W10" s="18"/>
      <c r="X10" s="18"/>
      <c r="Y10" s="18"/>
      <c r="Z10" s="18"/>
      <c r="AA10" s="18"/>
      <c r="AB10" s="18"/>
      <c r="AC10" s="18"/>
      <c r="AD10" s="18"/>
      <c r="AE10" s="19"/>
      <c r="AF10" s="18"/>
      <c r="AG10" s="18">
        <v>47.1</v>
      </c>
      <c r="AH10" s="18">
        <v>7.1</v>
      </c>
    </row>
    <row r="11" spans="1:34" ht="45.75" thickBot="1" x14ac:dyDescent="0.3">
      <c r="A11" s="20">
        <v>6.2</v>
      </c>
      <c r="B11" s="20" t="s">
        <v>92</v>
      </c>
      <c r="C11" s="20" t="s">
        <v>82</v>
      </c>
      <c r="D11" s="20"/>
      <c r="E11" s="21"/>
      <c r="F11" s="20"/>
      <c r="G11" s="20"/>
      <c r="H11" s="20"/>
      <c r="I11" s="20"/>
      <c r="J11" s="20"/>
      <c r="K11" s="20"/>
      <c r="L11" s="20"/>
      <c r="M11" s="20"/>
      <c r="N11" s="20"/>
      <c r="O11" s="20"/>
      <c r="P11" s="20"/>
      <c r="Q11" s="20" t="s">
        <v>70</v>
      </c>
      <c r="R11" s="20" t="s">
        <v>93</v>
      </c>
      <c r="S11" s="20"/>
      <c r="T11" s="20" t="s">
        <v>90</v>
      </c>
      <c r="U11" s="20">
        <v>3</v>
      </c>
      <c r="V11" s="20">
        <v>0</v>
      </c>
      <c r="W11" s="20"/>
      <c r="X11" s="20"/>
      <c r="Y11" s="20"/>
      <c r="Z11" s="20"/>
      <c r="AA11" s="20"/>
      <c r="AB11" s="20"/>
      <c r="AC11" s="20"/>
      <c r="AD11" s="20"/>
      <c r="AE11" s="21"/>
      <c r="AF11" s="20"/>
      <c r="AG11" s="20">
        <v>31</v>
      </c>
      <c r="AH11" s="20">
        <v>8</v>
      </c>
    </row>
    <row r="12" spans="1:34" ht="60.75" thickTop="1" x14ac:dyDescent="0.25">
      <c r="A12" s="4">
        <v>7</v>
      </c>
      <c r="B12" s="4" t="s">
        <v>94</v>
      </c>
      <c r="C12" s="4" t="s">
        <v>95</v>
      </c>
      <c r="D12" s="4" t="s">
        <v>36</v>
      </c>
      <c r="E12" s="5">
        <v>10000</v>
      </c>
      <c r="F12" s="4" t="s">
        <v>53</v>
      </c>
      <c r="G12" s="4" t="s">
        <v>96</v>
      </c>
      <c r="H12" s="4" t="s">
        <v>97</v>
      </c>
      <c r="I12" s="4" t="s">
        <v>98</v>
      </c>
      <c r="J12" s="4" t="s">
        <v>99</v>
      </c>
      <c r="K12" s="4"/>
      <c r="L12" s="4">
        <v>0</v>
      </c>
      <c r="M12" s="4">
        <v>1</v>
      </c>
      <c r="N12" s="4">
        <v>1</v>
      </c>
      <c r="O12" s="4">
        <v>0</v>
      </c>
      <c r="P12" s="4">
        <v>0</v>
      </c>
      <c r="Q12" s="4" t="s">
        <v>59</v>
      </c>
      <c r="R12" s="4" t="s">
        <v>100</v>
      </c>
      <c r="S12" s="4"/>
      <c r="T12" s="4"/>
      <c r="U12" s="4">
        <v>1</v>
      </c>
      <c r="V12" s="4"/>
      <c r="W12" s="4" t="s">
        <v>200</v>
      </c>
      <c r="X12" s="4" t="s">
        <v>288</v>
      </c>
      <c r="Y12" s="4" t="s">
        <v>101</v>
      </c>
      <c r="Z12" s="4">
        <v>2022</v>
      </c>
      <c r="AA12" s="4" t="s">
        <v>276</v>
      </c>
      <c r="AB12" s="4" t="s">
        <v>99</v>
      </c>
      <c r="AC12" s="4"/>
      <c r="AD12" s="4"/>
      <c r="AE12" s="5">
        <v>250000</v>
      </c>
      <c r="AF12" s="4" t="s">
        <v>102</v>
      </c>
      <c r="AG12" s="4">
        <v>10</v>
      </c>
      <c r="AH12" s="4">
        <v>10</v>
      </c>
    </row>
    <row r="13" spans="1:34" ht="45.75" thickBot="1" x14ac:dyDescent="0.3">
      <c r="A13" s="22">
        <v>7.1</v>
      </c>
      <c r="B13" s="22" t="s">
        <v>94</v>
      </c>
      <c r="C13" s="22" t="s">
        <v>95</v>
      </c>
      <c r="D13" s="22"/>
      <c r="E13" s="23"/>
      <c r="F13" s="22"/>
      <c r="G13" s="22"/>
      <c r="H13" s="22"/>
      <c r="I13" s="22"/>
      <c r="J13" s="22"/>
      <c r="K13" s="22"/>
      <c r="L13" s="22"/>
      <c r="M13" s="22"/>
      <c r="N13" s="22"/>
      <c r="O13" s="22"/>
      <c r="P13" s="22"/>
      <c r="Q13" s="22" t="s">
        <v>59</v>
      </c>
      <c r="R13" s="22" t="s">
        <v>103</v>
      </c>
      <c r="S13" s="22"/>
      <c r="T13" s="22"/>
      <c r="U13" s="22">
        <v>1</v>
      </c>
      <c r="V13" s="22"/>
      <c r="W13" s="22" t="s">
        <v>200</v>
      </c>
      <c r="X13" s="22" t="s">
        <v>289</v>
      </c>
      <c r="Y13" s="22" t="s">
        <v>104</v>
      </c>
      <c r="Z13" s="22">
        <v>2022</v>
      </c>
      <c r="AA13" s="22" t="s">
        <v>203</v>
      </c>
      <c r="AB13" s="22" t="s">
        <v>99</v>
      </c>
      <c r="AC13" s="22"/>
      <c r="AD13" s="22"/>
      <c r="AE13" s="23">
        <v>100000</v>
      </c>
      <c r="AF13" s="22"/>
      <c r="AG13" s="22">
        <v>10.1</v>
      </c>
      <c r="AH13" s="22">
        <v>10.1</v>
      </c>
    </row>
    <row r="14" spans="1:34" ht="61.5" thickTop="1" thickBot="1" x14ac:dyDescent="0.3">
      <c r="A14" s="6">
        <v>8</v>
      </c>
      <c r="B14" s="6" t="s">
        <v>105</v>
      </c>
      <c r="C14" s="6" t="s">
        <v>106</v>
      </c>
      <c r="D14" s="6" t="s">
        <v>36</v>
      </c>
      <c r="E14" s="7">
        <v>15000</v>
      </c>
      <c r="F14" s="6" t="s">
        <v>107</v>
      </c>
      <c r="G14" s="6" t="s">
        <v>108</v>
      </c>
      <c r="H14" s="6" t="s">
        <v>54</v>
      </c>
      <c r="I14" s="6" t="s">
        <v>109</v>
      </c>
      <c r="J14" s="6" t="s">
        <v>110</v>
      </c>
      <c r="K14" s="6" t="s">
        <v>111</v>
      </c>
      <c r="L14" s="6">
        <v>1</v>
      </c>
      <c r="M14" s="6">
        <v>1</v>
      </c>
      <c r="N14" s="6">
        <v>0</v>
      </c>
      <c r="O14" s="6">
        <v>0</v>
      </c>
      <c r="P14" s="6">
        <v>0</v>
      </c>
      <c r="Q14" s="6"/>
      <c r="R14" s="6"/>
      <c r="S14" s="6"/>
      <c r="T14" s="6"/>
      <c r="U14" s="6"/>
      <c r="V14" s="6"/>
      <c r="W14" s="6"/>
      <c r="X14" s="6"/>
      <c r="Y14" s="6"/>
      <c r="Z14" s="6"/>
      <c r="AA14" s="6"/>
      <c r="AB14" s="6"/>
      <c r="AC14" s="6"/>
      <c r="AD14" s="6"/>
      <c r="AE14" s="7"/>
      <c r="AF14" s="6"/>
      <c r="AG14" s="6">
        <v>41</v>
      </c>
      <c r="AH14" s="6">
        <v>11</v>
      </c>
    </row>
    <row r="15" spans="1:34" ht="90.75" thickTop="1" x14ac:dyDescent="0.25">
      <c r="A15" s="8">
        <v>9</v>
      </c>
      <c r="B15" s="8" t="s">
        <v>112</v>
      </c>
      <c r="C15" s="8" t="s">
        <v>113</v>
      </c>
      <c r="D15" s="8" t="s">
        <v>36</v>
      </c>
      <c r="E15" s="9">
        <v>15000</v>
      </c>
      <c r="F15" s="8" t="s">
        <v>114</v>
      </c>
      <c r="G15" s="8" t="s">
        <v>108</v>
      </c>
      <c r="H15" s="8" t="s">
        <v>115</v>
      </c>
      <c r="I15" s="8" t="s">
        <v>116</v>
      </c>
      <c r="J15" s="8" t="s">
        <v>117</v>
      </c>
      <c r="K15" s="8" t="s">
        <v>88</v>
      </c>
      <c r="L15" s="8">
        <v>0</v>
      </c>
      <c r="M15" s="8">
        <v>0</v>
      </c>
      <c r="N15" s="8">
        <v>1</v>
      </c>
      <c r="O15" s="8">
        <v>0</v>
      </c>
      <c r="P15" s="8">
        <v>1</v>
      </c>
      <c r="Q15" s="8" t="s">
        <v>70</v>
      </c>
      <c r="R15" s="8" t="s">
        <v>118</v>
      </c>
      <c r="S15" s="8">
        <v>2025</v>
      </c>
      <c r="T15" s="8"/>
      <c r="U15" s="8">
        <v>5</v>
      </c>
      <c r="V15" s="8">
        <v>0</v>
      </c>
      <c r="W15" s="8" t="s">
        <v>119</v>
      </c>
      <c r="X15" s="8" t="s">
        <v>120</v>
      </c>
      <c r="Y15" s="8" t="s">
        <v>121</v>
      </c>
      <c r="Z15" s="8">
        <v>2024</v>
      </c>
      <c r="AA15" s="8" t="s">
        <v>122</v>
      </c>
      <c r="AB15" s="8" t="s">
        <v>117</v>
      </c>
      <c r="AC15" s="8" t="s">
        <v>123</v>
      </c>
      <c r="AD15" s="8"/>
      <c r="AE15" s="9"/>
      <c r="AF15" s="8"/>
      <c r="AG15" s="8">
        <v>38</v>
      </c>
      <c r="AH15" s="8">
        <v>12</v>
      </c>
    </row>
    <row r="16" spans="1:34" ht="60.75" thickBot="1" x14ac:dyDescent="0.3">
      <c r="A16" s="24">
        <v>9.1</v>
      </c>
      <c r="B16" s="24" t="s">
        <v>112</v>
      </c>
      <c r="C16" s="24" t="s">
        <v>113</v>
      </c>
      <c r="D16" s="24"/>
      <c r="E16" s="25"/>
      <c r="F16" s="24"/>
      <c r="G16" s="24"/>
      <c r="H16" s="24"/>
      <c r="I16" s="24"/>
      <c r="J16" s="24"/>
      <c r="K16" s="24"/>
      <c r="L16" s="24"/>
      <c r="M16" s="24"/>
      <c r="N16" s="24"/>
      <c r="O16" s="24"/>
      <c r="P16" s="24"/>
      <c r="Q16" s="24" t="s">
        <v>70</v>
      </c>
      <c r="R16" s="24" t="s">
        <v>124</v>
      </c>
      <c r="S16" s="24">
        <v>2024</v>
      </c>
      <c r="T16" s="24"/>
      <c r="U16" s="24">
        <v>2</v>
      </c>
      <c r="V16" s="24">
        <v>0</v>
      </c>
      <c r="W16" s="24"/>
      <c r="X16" s="24"/>
      <c r="Y16" s="24"/>
      <c r="Z16" s="24"/>
      <c r="AA16" s="24"/>
      <c r="AB16" s="24"/>
      <c r="AC16" s="24"/>
      <c r="AD16" s="24"/>
      <c r="AE16" s="25"/>
      <c r="AF16" s="24"/>
      <c r="AG16" s="24">
        <v>25</v>
      </c>
      <c r="AH16" s="24">
        <v>13</v>
      </c>
    </row>
    <row r="17" spans="1:34" ht="45.75" thickTop="1" x14ac:dyDescent="0.25">
      <c r="A17" s="10">
        <v>10</v>
      </c>
      <c r="B17" s="10" t="s">
        <v>125</v>
      </c>
      <c r="C17" s="10" t="s">
        <v>126</v>
      </c>
      <c r="D17" s="10" t="s">
        <v>127</v>
      </c>
      <c r="E17" s="11">
        <v>200000</v>
      </c>
      <c r="F17" s="10" t="s">
        <v>45</v>
      </c>
      <c r="G17" s="10" t="s">
        <v>128</v>
      </c>
      <c r="H17" s="10" t="s">
        <v>129</v>
      </c>
      <c r="I17" s="10" t="s">
        <v>109</v>
      </c>
      <c r="J17" s="10" t="s">
        <v>130</v>
      </c>
      <c r="K17" s="10" t="s">
        <v>50</v>
      </c>
      <c r="L17" s="10">
        <v>0</v>
      </c>
      <c r="M17" s="10">
        <v>0</v>
      </c>
      <c r="N17" s="10">
        <v>1</v>
      </c>
      <c r="O17" s="10">
        <v>0</v>
      </c>
      <c r="P17" s="10">
        <v>0</v>
      </c>
      <c r="Q17" s="10" t="s">
        <v>131</v>
      </c>
      <c r="R17" s="10" t="s">
        <v>132</v>
      </c>
      <c r="S17" s="10">
        <v>2024</v>
      </c>
      <c r="T17" s="10"/>
      <c r="U17" s="10">
        <v>1</v>
      </c>
      <c r="V17" s="10">
        <v>4</v>
      </c>
      <c r="W17" s="10"/>
      <c r="X17" s="10"/>
      <c r="Y17" s="10"/>
      <c r="Z17" s="10"/>
      <c r="AA17" s="10"/>
      <c r="AB17" s="10"/>
      <c r="AC17" s="10"/>
      <c r="AD17" s="10"/>
      <c r="AE17" s="11"/>
      <c r="AF17" s="10"/>
      <c r="AG17" s="10">
        <v>33</v>
      </c>
      <c r="AH17" s="10">
        <v>14</v>
      </c>
    </row>
    <row r="18" spans="1:34" ht="45" x14ac:dyDescent="0.25">
      <c r="A18" s="12">
        <v>10.1</v>
      </c>
      <c r="B18" s="12" t="s">
        <v>125</v>
      </c>
      <c r="C18" s="12" t="s">
        <v>126</v>
      </c>
      <c r="D18" s="12"/>
      <c r="E18" s="13"/>
      <c r="F18" s="12"/>
      <c r="G18" s="12"/>
      <c r="H18" s="12"/>
      <c r="I18" s="12"/>
      <c r="J18" s="12"/>
      <c r="K18" s="12"/>
      <c r="L18" s="12"/>
      <c r="M18" s="12"/>
      <c r="N18" s="12"/>
      <c r="O18" s="12"/>
      <c r="P18" s="12"/>
      <c r="Q18" s="12" t="s">
        <v>70</v>
      </c>
      <c r="R18" s="12" t="s">
        <v>133</v>
      </c>
      <c r="S18" s="12"/>
      <c r="T18" s="12" t="s">
        <v>90</v>
      </c>
      <c r="U18" s="12">
        <v>1</v>
      </c>
      <c r="V18" s="12">
        <v>4</v>
      </c>
      <c r="W18" s="12"/>
      <c r="X18" s="12"/>
      <c r="Y18" s="12"/>
      <c r="Z18" s="12"/>
      <c r="AA18" s="12"/>
      <c r="AB18" s="12"/>
      <c r="AC18" s="12"/>
      <c r="AD18" s="12"/>
      <c r="AE18" s="13"/>
      <c r="AF18" s="12"/>
      <c r="AG18" s="12">
        <v>33.1</v>
      </c>
      <c r="AH18" s="12">
        <v>14.1</v>
      </c>
    </row>
    <row r="19" spans="1:34" ht="45.75" thickBot="1" x14ac:dyDescent="0.3">
      <c r="A19" s="26">
        <v>10.199999999999999</v>
      </c>
      <c r="B19" s="26" t="s">
        <v>125</v>
      </c>
      <c r="C19" s="26" t="s">
        <v>126</v>
      </c>
      <c r="D19" s="26"/>
      <c r="E19" s="27"/>
      <c r="F19" s="26"/>
      <c r="G19" s="26"/>
      <c r="H19" s="26"/>
      <c r="I19" s="26"/>
      <c r="J19" s="26"/>
      <c r="K19" s="26"/>
      <c r="L19" s="26"/>
      <c r="M19" s="26"/>
      <c r="N19" s="26"/>
      <c r="O19" s="26"/>
      <c r="P19" s="26"/>
      <c r="Q19" s="26" t="s">
        <v>70</v>
      </c>
      <c r="R19" s="26" t="s">
        <v>134</v>
      </c>
      <c r="S19" s="26"/>
      <c r="T19" s="26" t="s">
        <v>90</v>
      </c>
      <c r="U19" s="26">
        <v>1</v>
      </c>
      <c r="V19" s="26">
        <v>4</v>
      </c>
      <c r="W19" s="26"/>
      <c r="X19" s="26"/>
      <c r="Y19" s="26"/>
      <c r="Z19" s="26"/>
      <c r="AA19" s="26"/>
      <c r="AB19" s="26"/>
      <c r="AC19" s="26"/>
      <c r="AD19" s="26"/>
      <c r="AE19" s="27"/>
      <c r="AF19" s="26"/>
      <c r="AG19" s="26">
        <v>33.200000000000003</v>
      </c>
      <c r="AH19" s="26">
        <v>14.2</v>
      </c>
    </row>
    <row r="20" spans="1:34" ht="46.5" thickTop="1" thickBot="1" x14ac:dyDescent="0.3">
      <c r="A20" s="14">
        <v>11</v>
      </c>
      <c r="B20" s="14" t="s">
        <v>135</v>
      </c>
      <c r="C20" s="14" t="s">
        <v>136</v>
      </c>
      <c r="D20" s="14" t="s">
        <v>36</v>
      </c>
      <c r="E20" s="15">
        <v>10000</v>
      </c>
      <c r="F20" s="14" t="s">
        <v>45</v>
      </c>
      <c r="G20" s="14" t="s">
        <v>96</v>
      </c>
      <c r="H20" s="14" t="s">
        <v>137</v>
      </c>
      <c r="I20" s="14" t="s">
        <v>138</v>
      </c>
      <c r="J20" s="14" t="s">
        <v>139</v>
      </c>
      <c r="K20" s="14"/>
      <c r="L20" s="14">
        <v>0</v>
      </c>
      <c r="M20" s="14">
        <v>1</v>
      </c>
      <c r="N20" s="14">
        <v>0</v>
      </c>
      <c r="O20" s="14">
        <v>0</v>
      </c>
      <c r="P20" s="14">
        <v>0</v>
      </c>
      <c r="Q20" s="14" t="s">
        <v>59</v>
      </c>
      <c r="R20" s="14"/>
      <c r="S20" s="14"/>
      <c r="T20" s="14"/>
      <c r="U20" s="14">
        <v>1</v>
      </c>
      <c r="V20" s="14">
        <v>0</v>
      </c>
      <c r="W20" s="14"/>
      <c r="X20" s="14"/>
      <c r="Y20" s="14"/>
      <c r="Z20" s="14"/>
      <c r="AA20" s="14"/>
      <c r="AB20" s="14"/>
      <c r="AC20" s="14"/>
      <c r="AD20" s="14"/>
      <c r="AE20" s="15"/>
      <c r="AF20" s="14"/>
      <c r="AG20" s="14">
        <v>7</v>
      </c>
      <c r="AH20" s="14">
        <v>16</v>
      </c>
    </row>
    <row r="21" spans="1:34" ht="60.75" thickTop="1" x14ac:dyDescent="0.25">
      <c r="A21" s="16">
        <v>12</v>
      </c>
      <c r="B21" s="16" t="s">
        <v>140</v>
      </c>
      <c r="C21" s="16" t="s">
        <v>141</v>
      </c>
      <c r="D21" s="16" t="s">
        <v>83</v>
      </c>
      <c r="E21" s="17">
        <v>238013</v>
      </c>
      <c r="F21" s="16" t="s">
        <v>84</v>
      </c>
      <c r="G21" s="16" t="s">
        <v>85</v>
      </c>
      <c r="H21" s="16" t="s">
        <v>54</v>
      </c>
      <c r="I21" s="16" t="s">
        <v>77</v>
      </c>
      <c r="J21" s="16" t="s">
        <v>142</v>
      </c>
      <c r="K21" s="16" t="s">
        <v>50</v>
      </c>
      <c r="L21" s="16">
        <v>1</v>
      </c>
      <c r="M21" s="16">
        <v>0</v>
      </c>
      <c r="N21" s="16">
        <v>4</v>
      </c>
      <c r="O21" s="16">
        <v>0</v>
      </c>
      <c r="P21" s="16">
        <v>0</v>
      </c>
      <c r="Q21" s="16" t="s">
        <v>68</v>
      </c>
      <c r="R21" s="16" t="s">
        <v>143</v>
      </c>
      <c r="S21" s="16">
        <v>2024</v>
      </c>
      <c r="T21" s="16"/>
      <c r="U21" s="16">
        <v>1</v>
      </c>
      <c r="V21" s="16">
        <v>0</v>
      </c>
      <c r="W21" s="16"/>
      <c r="X21" s="16"/>
      <c r="Y21" s="16"/>
      <c r="Z21" s="16"/>
      <c r="AA21" s="16"/>
      <c r="AB21" s="16"/>
      <c r="AC21" s="16"/>
      <c r="AD21" s="16"/>
      <c r="AE21" s="17"/>
      <c r="AF21" s="16"/>
      <c r="AG21" s="16">
        <v>45</v>
      </c>
      <c r="AH21" s="16">
        <v>17</v>
      </c>
    </row>
    <row r="22" spans="1:34" ht="60" x14ac:dyDescent="0.25">
      <c r="A22" s="18">
        <v>12.1</v>
      </c>
      <c r="B22" s="18" t="s">
        <v>140</v>
      </c>
      <c r="C22" s="18" t="s">
        <v>141</v>
      </c>
      <c r="D22" s="18"/>
      <c r="E22" s="19"/>
      <c r="F22" s="18"/>
      <c r="G22" s="18"/>
      <c r="H22" s="18"/>
      <c r="I22" s="18"/>
      <c r="J22" s="18"/>
      <c r="K22" s="18"/>
      <c r="L22" s="18"/>
      <c r="M22" s="18"/>
      <c r="N22" s="18"/>
      <c r="O22" s="18"/>
      <c r="P22" s="18"/>
      <c r="Q22" s="18" t="s">
        <v>70</v>
      </c>
      <c r="R22" s="18" t="s">
        <v>144</v>
      </c>
      <c r="S22" s="18">
        <v>2025</v>
      </c>
      <c r="T22" s="18"/>
      <c r="U22" s="18">
        <v>1</v>
      </c>
      <c r="V22" s="18">
        <v>0</v>
      </c>
      <c r="W22" s="18"/>
      <c r="X22" s="18"/>
      <c r="Y22" s="18"/>
      <c r="Z22" s="18"/>
      <c r="AA22" s="18"/>
      <c r="AB22" s="18"/>
      <c r="AC22" s="18"/>
      <c r="AD22" s="18"/>
      <c r="AE22" s="19"/>
      <c r="AF22" s="18"/>
      <c r="AG22" s="18">
        <v>45.1</v>
      </c>
      <c r="AH22" s="18">
        <v>17.100000000000001</v>
      </c>
    </row>
    <row r="23" spans="1:34" ht="75" x14ac:dyDescent="0.25">
      <c r="A23" s="18">
        <v>12.2</v>
      </c>
      <c r="B23" s="18" t="s">
        <v>145</v>
      </c>
      <c r="C23" s="18" t="s">
        <v>141</v>
      </c>
      <c r="D23" s="18"/>
      <c r="E23" s="19"/>
      <c r="F23" s="18"/>
      <c r="G23" s="18"/>
      <c r="H23" s="18"/>
      <c r="I23" s="18"/>
      <c r="J23" s="18"/>
      <c r="K23" s="18"/>
      <c r="L23" s="18"/>
      <c r="M23" s="18"/>
      <c r="N23" s="18"/>
      <c r="O23" s="18"/>
      <c r="P23" s="18"/>
      <c r="Q23" s="18" t="s">
        <v>70</v>
      </c>
      <c r="R23" s="18" t="s">
        <v>146</v>
      </c>
      <c r="S23" s="18">
        <v>2023</v>
      </c>
      <c r="T23" s="18"/>
      <c r="U23" s="18">
        <v>1</v>
      </c>
      <c r="V23" s="18">
        <v>0</v>
      </c>
      <c r="W23" s="18"/>
      <c r="X23" s="18"/>
      <c r="Y23" s="18"/>
      <c r="Z23" s="18"/>
      <c r="AA23" s="18"/>
      <c r="AB23" s="18"/>
      <c r="AC23" s="18"/>
      <c r="AD23" s="18"/>
      <c r="AE23" s="19"/>
      <c r="AF23" s="18"/>
      <c r="AG23" s="18">
        <v>28</v>
      </c>
      <c r="AH23" s="18">
        <v>18</v>
      </c>
    </row>
    <row r="24" spans="1:34" ht="60" x14ac:dyDescent="0.25">
      <c r="A24" s="18">
        <v>12.3</v>
      </c>
      <c r="B24" s="18" t="s">
        <v>145</v>
      </c>
      <c r="C24" s="18" t="s">
        <v>141</v>
      </c>
      <c r="D24" s="18"/>
      <c r="E24" s="19"/>
      <c r="F24" s="18"/>
      <c r="G24" s="18"/>
      <c r="H24" s="18"/>
      <c r="I24" s="18"/>
      <c r="J24" s="18"/>
      <c r="K24" s="18"/>
      <c r="L24" s="18"/>
      <c r="M24" s="18"/>
      <c r="N24" s="18"/>
      <c r="O24" s="18"/>
      <c r="P24" s="18"/>
      <c r="Q24" s="18" t="s">
        <v>147</v>
      </c>
      <c r="R24" s="18" t="s">
        <v>148</v>
      </c>
      <c r="S24" s="18">
        <v>2022</v>
      </c>
      <c r="T24" s="18"/>
      <c r="U24" s="18">
        <v>1</v>
      </c>
      <c r="V24" s="18">
        <v>0</v>
      </c>
      <c r="W24" s="18"/>
      <c r="X24" s="18"/>
      <c r="Y24" s="18"/>
      <c r="Z24" s="18"/>
      <c r="AA24" s="18"/>
      <c r="AB24" s="18"/>
      <c r="AC24" s="18"/>
      <c r="AD24" s="18"/>
      <c r="AE24" s="19"/>
      <c r="AF24" s="18"/>
      <c r="AG24" s="18">
        <v>28.1</v>
      </c>
      <c r="AH24" s="18">
        <v>18.100000000000001</v>
      </c>
    </row>
    <row r="25" spans="1:34" ht="60" x14ac:dyDescent="0.25">
      <c r="A25" s="18">
        <v>12.4</v>
      </c>
      <c r="B25" s="18" t="s">
        <v>145</v>
      </c>
      <c r="C25" s="18" t="s">
        <v>141</v>
      </c>
      <c r="D25" s="18"/>
      <c r="E25" s="19"/>
      <c r="F25" s="18"/>
      <c r="G25" s="18"/>
      <c r="H25" s="18"/>
      <c r="I25" s="18"/>
      <c r="J25" s="18"/>
      <c r="K25" s="18"/>
      <c r="L25" s="18"/>
      <c r="M25" s="18"/>
      <c r="N25" s="18"/>
      <c r="O25" s="18"/>
      <c r="P25" s="18"/>
      <c r="Q25" s="18" t="s">
        <v>68</v>
      </c>
      <c r="R25" s="18" t="s">
        <v>149</v>
      </c>
      <c r="S25" s="18">
        <v>2024</v>
      </c>
      <c r="T25" s="18" t="s">
        <v>150</v>
      </c>
      <c r="U25" s="18">
        <v>1</v>
      </c>
      <c r="V25" s="18">
        <v>0</v>
      </c>
      <c r="W25" s="18"/>
      <c r="X25" s="18"/>
      <c r="Y25" s="18"/>
      <c r="Z25" s="18"/>
      <c r="AA25" s="18"/>
      <c r="AB25" s="18"/>
      <c r="AC25" s="18"/>
      <c r="AD25" s="18"/>
      <c r="AE25" s="19"/>
      <c r="AF25" s="18"/>
      <c r="AG25" s="18">
        <v>28.2</v>
      </c>
      <c r="AH25" s="18">
        <v>18.2</v>
      </c>
    </row>
    <row r="26" spans="1:34" ht="60" x14ac:dyDescent="0.25">
      <c r="A26" s="18">
        <v>12.5</v>
      </c>
      <c r="B26" s="18" t="s">
        <v>145</v>
      </c>
      <c r="C26" s="18" t="s">
        <v>141</v>
      </c>
      <c r="D26" s="18"/>
      <c r="E26" s="19"/>
      <c r="F26" s="18"/>
      <c r="G26" s="18"/>
      <c r="H26" s="18"/>
      <c r="I26" s="18"/>
      <c r="J26" s="18"/>
      <c r="K26" s="18"/>
      <c r="L26" s="18"/>
      <c r="M26" s="18"/>
      <c r="N26" s="18"/>
      <c r="O26" s="18"/>
      <c r="P26" s="18"/>
      <c r="Q26" s="18" t="s">
        <v>70</v>
      </c>
      <c r="R26" s="18" t="s">
        <v>151</v>
      </c>
      <c r="S26" s="18"/>
      <c r="T26" s="18" t="s">
        <v>152</v>
      </c>
      <c r="U26" s="18">
        <v>1</v>
      </c>
      <c r="V26" s="18">
        <v>0</v>
      </c>
      <c r="W26" s="18"/>
      <c r="X26" s="18"/>
      <c r="Y26" s="18"/>
      <c r="Z26" s="18"/>
      <c r="AA26" s="18"/>
      <c r="AB26" s="18"/>
      <c r="AC26" s="18"/>
      <c r="AD26" s="18"/>
      <c r="AE26" s="19"/>
      <c r="AF26" s="18"/>
      <c r="AG26" s="18">
        <v>28.4</v>
      </c>
      <c r="AH26" s="18">
        <v>18.399999999999999</v>
      </c>
    </row>
    <row r="27" spans="1:34" ht="60.75" thickBot="1" x14ac:dyDescent="0.3">
      <c r="A27" s="20">
        <v>12.6</v>
      </c>
      <c r="B27" s="20" t="s">
        <v>145</v>
      </c>
      <c r="C27" s="20" t="s">
        <v>141</v>
      </c>
      <c r="D27" s="20"/>
      <c r="E27" s="21"/>
      <c r="F27" s="20"/>
      <c r="G27" s="20"/>
      <c r="H27" s="20"/>
      <c r="I27" s="20"/>
      <c r="J27" s="20"/>
      <c r="K27" s="20"/>
      <c r="L27" s="20"/>
      <c r="M27" s="20"/>
      <c r="N27" s="20"/>
      <c r="O27" s="20"/>
      <c r="P27" s="20"/>
      <c r="Q27" s="20" t="s">
        <v>70</v>
      </c>
      <c r="R27" s="20" t="s">
        <v>153</v>
      </c>
      <c r="S27" s="20"/>
      <c r="T27" s="20" t="s">
        <v>90</v>
      </c>
      <c r="U27" s="20">
        <v>1</v>
      </c>
      <c r="V27" s="20">
        <v>0</v>
      </c>
      <c r="W27" s="20"/>
      <c r="X27" s="20"/>
      <c r="Y27" s="20"/>
      <c r="Z27" s="20"/>
      <c r="AA27" s="20"/>
      <c r="AB27" s="20"/>
      <c r="AC27" s="20"/>
      <c r="AD27" s="20"/>
      <c r="AE27" s="21"/>
      <c r="AF27" s="20"/>
      <c r="AG27" s="20">
        <v>17.100000000000001</v>
      </c>
      <c r="AH27" s="20">
        <v>19.100000000000001</v>
      </c>
    </row>
    <row r="28" spans="1:34" ht="61.5" thickTop="1" thickBot="1" x14ac:dyDescent="0.3">
      <c r="A28" s="4">
        <v>13</v>
      </c>
      <c r="B28" s="4" t="s">
        <v>154</v>
      </c>
      <c r="C28" s="4" t="s">
        <v>155</v>
      </c>
      <c r="D28" s="4" t="s">
        <v>36</v>
      </c>
      <c r="E28" s="5">
        <v>15000</v>
      </c>
      <c r="F28" s="4" t="s">
        <v>114</v>
      </c>
      <c r="G28" s="4" t="s">
        <v>54</v>
      </c>
      <c r="H28" s="4" t="s">
        <v>128</v>
      </c>
      <c r="I28" s="4" t="s">
        <v>77</v>
      </c>
      <c r="J28" s="4" t="s">
        <v>78</v>
      </c>
      <c r="K28" s="4" t="s">
        <v>79</v>
      </c>
      <c r="L28" s="4">
        <v>0</v>
      </c>
      <c r="M28" s="4">
        <v>1</v>
      </c>
      <c r="N28" s="4">
        <v>0</v>
      </c>
      <c r="O28" s="4">
        <v>0</v>
      </c>
      <c r="P28" s="4">
        <v>1</v>
      </c>
      <c r="Q28" s="4" t="s">
        <v>68</v>
      </c>
      <c r="R28" s="4" t="s">
        <v>156</v>
      </c>
      <c r="S28" s="4">
        <v>2025</v>
      </c>
      <c r="T28" s="4"/>
      <c r="U28" s="4">
        <v>1</v>
      </c>
      <c r="V28" s="4">
        <v>0</v>
      </c>
      <c r="W28" s="4"/>
      <c r="X28" s="4"/>
      <c r="Y28" s="4"/>
      <c r="Z28" s="4"/>
      <c r="AA28" s="4"/>
      <c r="AB28" s="4"/>
      <c r="AC28" s="4"/>
      <c r="AD28" s="4"/>
      <c r="AE28" s="5"/>
      <c r="AF28" s="4"/>
      <c r="AG28" s="4">
        <v>43</v>
      </c>
      <c r="AH28" s="4">
        <v>20</v>
      </c>
    </row>
    <row r="29" spans="1:34" ht="121.5" thickTop="1" thickBot="1" x14ac:dyDescent="0.3">
      <c r="A29" s="6">
        <v>14</v>
      </c>
      <c r="B29" s="6" t="s">
        <v>157</v>
      </c>
      <c r="C29" s="6" t="s">
        <v>158</v>
      </c>
      <c r="D29" s="6" t="s">
        <v>36</v>
      </c>
      <c r="E29" s="7">
        <v>9700</v>
      </c>
      <c r="F29" s="6" t="s">
        <v>53</v>
      </c>
      <c r="G29" s="6" t="s">
        <v>159</v>
      </c>
      <c r="H29" s="6" t="s">
        <v>54</v>
      </c>
      <c r="I29" s="6" t="s">
        <v>160</v>
      </c>
      <c r="J29" s="6" t="s">
        <v>161</v>
      </c>
      <c r="K29" s="6" t="s">
        <v>50</v>
      </c>
      <c r="L29" s="6">
        <v>1</v>
      </c>
      <c r="M29" s="6">
        <v>0</v>
      </c>
      <c r="N29" s="6">
        <v>2</v>
      </c>
      <c r="O29" s="6">
        <v>0</v>
      </c>
      <c r="P29" s="6">
        <v>0</v>
      </c>
      <c r="Q29" s="6" t="s">
        <v>68</v>
      </c>
      <c r="R29" s="6"/>
      <c r="S29" s="6">
        <v>2023</v>
      </c>
      <c r="T29" s="6" t="s">
        <v>90</v>
      </c>
      <c r="U29" s="6">
        <v>0</v>
      </c>
      <c r="V29" s="6">
        <v>0</v>
      </c>
      <c r="W29" s="6" t="s">
        <v>119</v>
      </c>
      <c r="X29" s="6" t="s">
        <v>162</v>
      </c>
      <c r="Y29" s="6" t="s">
        <v>163</v>
      </c>
      <c r="Z29" s="6">
        <v>2023</v>
      </c>
      <c r="AA29" s="6" t="s">
        <v>164</v>
      </c>
      <c r="AB29" s="6" t="s">
        <v>165</v>
      </c>
      <c r="AC29" s="6" t="s">
        <v>166</v>
      </c>
      <c r="AD29" s="6"/>
      <c r="AE29" s="7">
        <v>6000</v>
      </c>
      <c r="AF29" s="6" t="s">
        <v>167</v>
      </c>
      <c r="AG29" s="6">
        <v>13</v>
      </c>
      <c r="AH29" s="6">
        <v>21</v>
      </c>
    </row>
    <row r="30" spans="1:34" ht="76.5" thickTop="1" thickBot="1" x14ac:dyDescent="0.3">
      <c r="A30" s="8">
        <v>15</v>
      </c>
      <c r="B30" s="8" t="s">
        <v>168</v>
      </c>
      <c r="C30" s="8" t="s">
        <v>169</v>
      </c>
      <c r="D30" s="8" t="s">
        <v>36</v>
      </c>
      <c r="E30" s="9">
        <v>14998</v>
      </c>
      <c r="F30" s="8" t="s">
        <v>53</v>
      </c>
      <c r="G30" s="8" t="s">
        <v>108</v>
      </c>
      <c r="H30" s="8" t="s">
        <v>109</v>
      </c>
      <c r="I30" s="8" t="s">
        <v>115</v>
      </c>
      <c r="J30" s="8" t="s">
        <v>170</v>
      </c>
      <c r="K30" s="8" t="s">
        <v>88</v>
      </c>
      <c r="L30" s="8">
        <v>3</v>
      </c>
      <c r="M30" s="8">
        <v>0</v>
      </c>
      <c r="N30" s="8">
        <v>0</v>
      </c>
      <c r="O30" s="8">
        <v>0</v>
      </c>
      <c r="P30" s="8">
        <v>0</v>
      </c>
      <c r="Q30" s="8" t="s">
        <v>70</v>
      </c>
      <c r="R30" s="8" t="s">
        <v>171</v>
      </c>
      <c r="S30" s="8">
        <v>2025</v>
      </c>
      <c r="T30" s="8"/>
      <c r="U30" s="8">
        <v>1</v>
      </c>
      <c r="V30" s="8">
        <v>0</v>
      </c>
      <c r="W30" s="8"/>
      <c r="X30" s="8"/>
      <c r="Y30" s="8"/>
      <c r="Z30" s="8"/>
      <c r="AA30" s="8"/>
      <c r="AB30" s="8"/>
      <c r="AC30" s="8"/>
      <c r="AD30" s="8"/>
      <c r="AE30" s="9"/>
      <c r="AF30" s="8"/>
      <c r="AG30" s="8">
        <v>37</v>
      </c>
      <c r="AH30" s="8">
        <v>22</v>
      </c>
    </row>
    <row r="31" spans="1:34" ht="61.5" thickTop="1" thickBot="1" x14ac:dyDescent="0.3">
      <c r="A31" s="10">
        <v>16</v>
      </c>
      <c r="B31" s="10" t="s">
        <v>172</v>
      </c>
      <c r="C31" s="10" t="s">
        <v>173</v>
      </c>
      <c r="D31" s="10" t="s">
        <v>36</v>
      </c>
      <c r="E31" s="11">
        <v>9500</v>
      </c>
      <c r="F31" s="10" t="s">
        <v>174</v>
      </c>
      <c r="G31" s="10" t="s">
        <v>175</v>
      </c>
      <c r="H31" s="10" t="s">
        <v>176</v>
      </c>
      <c r="I31" s="10" t="s">
        <v>40</v>
      </c>
      <c r="J31" s="10" t="s">
        <v>177</v>
      </c>
      <c r="K31" s="10"/>
      <c r="L31" s="10">
        <v>0</v>
      </c>
      <c r="M31" s="10">
        <v>0</v>
      </c>
      <c r="N31" s="10">
        <v>1</v>
      </c>
      <c r="O31" s="10">
        <v>0</v>
      </c>
      <c r="P31" s="10">
        <v>0</v>
      </c>
      <c r="Q31" s="10" t="s">
        <v>59</v>
      </c>
      <c r="R31" s="10"/>
      <c r="S31" s="10"/>
      <c r="T31" s="10"/>
      <c r="U31" s="10">
        <v>1</v>
      </c>
      <c r="V31" s="10"/>
      <c r="W31" s="10"/>
      <c r="X31" s="10"/>
      <c r="Y31" s="10"/>
      <c r="Z31" s="10"/>
      <c r="AA31" s="10"/>
      <c r="AB31" s="10"/>
      <c r="AC31" s="10"/>
      <c r="AD31" s="10"/>
      <c r="AE31" s="11"/>
      <c r="AF31" s="10"/>
      <c r="AG31" s="10">
        <v>8</v>
      </c>
      <c r="AH31" s="10">
        <v>24</v>
      </c>
    </row>
    <row r="32" spans="1:34" ht="46.5" thickTop="1" thickBot="1" x14ac:dyDescent="0.3">
      <c r="A32" s="14">
        <v>17</v>
      </c>
      <c r="B32" s="14" t="s">
        <v>178</v>
      </c>
      <c r="C32" s="14" t="s">
        <v>179</v>
      </c>
      <c r="D32" s="14" t="s">
        <v>83</v>
      </c>
      <c r="E32" s="15">
        <v>122318</v>
      </c>
      <c r="F32" s="14" t="s">
        <v>53</v>
      </c>
      <c r="G32" s="14" t="s">
        <v>85</v>
      </c>
      <c r="H32" s="14" t="s">
        <v>86</v>
      </c>
      <c r="I32" s="14" t="s">
        <v>128</v>
      </c>
      <c r="J32" s="14" t="s">
        <v>180</v>
      </c>
      <c r="K32" s="14" t="s">
        <v>50</v>
      </c>
      <c r="L32" s="14">
        <v>0</v>
      </c>
      <c r="M32" s="14">
        <v>1</v>
      </c>
      <c r="N32" s="14">
        <v>0</v>
      </c>
      <c r="O32" s="14">
        <v>0</v>
      </c>
      <c r="P32" s="14">
        <v>0</v>
      </c>
      <c r="Q32" s="14" t="s">
        <v>68</v>
      </c>
      <c r="R32" s="14"/>
      <c r="S32" s="14"/>
      <c r="T32" s="14" t="s">
        <v>90</v>
      </c>
      <c r="U32" s="14"/>
      <c r="V32" s="14"/>
      <c r="W32" s="14"/>
      <c r="X32" s="14"/>
      <c r="Y32" s="14"/>
      <c r="Z32" s="14"/>
      <c r="AA32" s="14"/>
      <c r="AB32" s="14"/>
      <c r="AC32" s="14"/>
      <c r="AD32" s="14"/>
      <c r="AE32" s="15"/>
      <c r="AF32" s="14"/>
      <c r="AG32" s="14">
        <v>48</v>
      </c>
      <c r="AH32" s="14">
        <v>25</v>
      </c>
    </row>
    <row r="33" spans="1:34" ht="46.5" thickTop="1" thickBot="1" x14ac:dyDescent="0.3">
      <c r="A33" s="16">
        <v>18</v>
      </c>
      <c r="B33" s="16" t="s">
        <v>181</v>
      </c>
      <c r="C33" s="16" t="s">
        <v>182</v>
      </c>
      <c r="D33" s="16" t="s">
        <v>36</v>
      </c>
      <c r="E33" s="17">
        <v>15141</v>
      </c>
      <c r="F33" s="16" t="s">
        <v>53</v>
      </c>
      <c r="G33" s="16" t="s">
        <v>85</v>
      </c>
      <c r="H33" s="16" t="s">
        <v>86</v>
      </c>
      <c r="I33" s="16" t="s">
        <v>48</v>
      </c>
      <c r="J33" s="16" t="s">
        <v>183</v>
      </c>
      <c r="K33" s="16" t="s">
        <v>88</v>
      </c>
      <c r="L33" s="16">
        <v>0</v>
      </c>
      <c r="M33" s="16">
        <v>2</v>
      </c>
      <c r="N33" s="16">
        <v>1</v>
      </c>
      <c r="O33" s="16">
        <v>1</v>
      </c>
      <c r="P33" s="16">
        <v>4</v>
      </c>
      <c r="Q33" s="16" t="s">
        <v>59</v>
      </c>
      <c r="R33" s="16"/>
      <c r="S33" s="16"/>
      <c r="T33" s="16" t="s">
        <v>90</v>
      </c>
      <c r="U33" s="16">
        <v>3</v>
      </c>
      <c r="V33" s="16">
        <v>0</v>
      </c>
      <c r="W33" s="16"/>
      <c r="X33" s="16"/>
      <c r="Y33" s="16"/>
      <c r="Z33" s="16"/>
      <c r="AA33" s="16"/>
      <c r="AB33" s="16"/>
      <c r="AC33" s="16"/>
      <c r="AD33" s="16"/>
      <c r="AE33" s="17"/>
      <c r="AF33" s="16"/>
      <c r="AG33" s="16">
        <v>36</v>
      </c>
      <c r="AH33" s="16">
        <v>28</v>
      </c>
    </row>
    <row r="34" spans="1:34" ht="46.5" thickTop="1" thickBot="1" x14ac:dyDescent="0.3">
      <c r="A34" s="4">
        <v>19</v>
      </c>
      <c r="B34" s="4" t="s">
        <v>184</v>
      </c>
      <c r="C34" s="4" t="s">
        <v>185</v>
      </c>
      <c r="D34" s="4" t="s">
        <v>36</v>
      </c>
      <c r="E34" s="5">
        <v>9988</v>
      </c>
      <c r="F34" s="4" t="s">
        <v>114</v>
      </c>
      <c r="G34" s="4" t="s">
        <v>98</v>
      </c>
      <c r="H34" s="4" t="s">
        <v>138</v>
      </c>
      <c r="I34" s="4"/>
      <c r="J34" s="4" t="s">
        <v>186</v>
      </c>
      <c r="K34" s="4" t="s">
        <v>42</v>
      </c>
      <c r="L34" s="4">
        <v>2</v>
      </c>
      <c r="M34" s="4">
        <v>0</v>
      </c>
      <c r="N34" s="4">
        <v>0</v>
      </c>
      <c r="O34" s="4">
        <v>0</v>
      </c>
      <c r="P34" s="4">
        <v>0</v>
      </c>
      <c r="Q34" s="4"/>
      <c r="R34" s="4"/>
      <c r="S34" s="4"/>
      <c r="T34" s="4"/>
      <c r="U34" s="4"/>
      <c r="V34" s="4"/>
      <c r="W34" s="4"/>
      <c r="X34" s="4"/>
      <c r="Y34" s="4"/>
      <c r="Z34" s="4"/>
      <c r="AA34" s="4"/>
      <c r="AB34" s="4"/>
      <c r="AC34" s="4"/>
      <c r="AD34" s="4"/>
      <c r="AE34" s="5"/>
      <c r="AF34" s="4"/>
      <c r="AG34" s="4">
        <v>2</v>
      </c>
      <c r="AH34" s="4">
        <v>30</v>
      </c>
    </row>
    <row r="35" spans="1:34" ht="60.75" thickTop="1" x14ac:dyDescent="0.25">
      <c r="A35" s="6">
        <v>20</v>
      </c>
      <c r="B35" s="6" t="s">
        <v>187</v>
      </c>
      <c r="C35" s="6" t="s">
        <v>188</v>
      </c>
      <c r="D35" s="6" t="s">
        <v>36</v>
      </c>
      <c r="E35" s="7">
        <v>10000</v>
      </c>
      <c r="F35" s="6" t="s">
        <v>53</v>
      </c>
      <c r="G35" s="6" t="s">
        <v>189</v>
      </c>
      <c r="H35" s="6" t="s">
        <v>86</v>
      </c>
      <c r="I35" s="6" t="s">
        <v>54</v>
      </c>
      <c r="J35" s="6" t="s">
        <v>190</v>
      </c>
      <c r="K35" s="6" t="s">
        <v>50</v>
      </c>
      <c r="L35" s="6">
        <v>0</v>
      </c>
      <c r="M35" s="6">
        <v>0</v>
      </c>
      <c r="N35" s="6">
        <v>1</v>
      </c>
      <c r="O35" s="6">
        <v>0</v>
      </c>
      <c r="P35" s="6">
        <v>0</v>
      </c>
      <c r="Q35" s="6" t="s">
        <v>191</v>
      </c>
      <c r="R35" s="6"/>
      <c r="S35" s="6"/>
      <c r="T35" s="6" t="s">
        <v>90</v>
      </c>
      <c r="U35" s="6"/>
      <c r="V35" s="6"/>
      <c r="W35" s="6"/>
      <c r="X35" s="6"/>
      <c r="Y35" s="6"/>
      <c r="Z35" s="6"/>
      <c r="AA35" s="6"/>
      <c r="AB35" s="6"/>
      <c r="AC35" s="6"/>
      <c r="AD35" s="6"/>
      <c r="AE35" s="7"/>
      <c r="AF35" s="6"/>
      <c r="AG35" s="6">
        <v>15</v>
      </c>
      <c r="AH35" s="6">
        <v>31</v>
      </c>
    </row>
    <row r="36" spans="1:34" ht="60.75" thickBot="1" x14ac:dyDescent="0.3">
      <c r="A36" s="28">
        <v>20.100000000000001</v>
      </c>
      <c r="B36" s="28" t="s">
        <v>187</v>
      </c>
      <c r="C36" s="28" t="s">
        <v>188</v>
      </c>
      <c r="D36" s="28"/>
      <c r="E36" s="29"/>
      <c r="F36" s="28"/>
      <c r="G36" s="28"/>
      <c r="H36" s="28"/>
      <c r="I36" s="28"/>
      <c r="J36" s="28"/>
      <c r="K36" s="28"/>
      <c r="L36" s="28"/>
      <c r="M36" s="28"/>
      <c r="N36" s="28"/>
      <c r="O36" s="28"/>
      <c r="P36" s="28"/>
      <c r="Q36" s="28" t="s">
        <v>70</v>
      </c>
      <c r="R36" s="28"/>
      <c r="S36" s="28"/>
      <c r="T36" s="28" t="s">
        <v>90</v>
      </c>
      <c r="U36" s="28"/>
      <c r="V36" s="28"/>
      <c r="W36" s="28"/>
      <c r="X36" s="28"/>
      <c r="Y36" s="28"/>
      <c r="Z36" s="28"/>
      <c r="AA36" s="28"/>
      <c r="AB36" s="28"/>
      <c r="AC36" s="28"/>
      <c r="AD36" s="28"/>
      <c r="AE36" s="29"/>
      <c r="AF36" s="28"/>
      <c r="AG36" s="28">
        <v>15.1</v>
      </c>
      <c r="AH36" s="28">
        <v>31.1</v>
      </c>
    </row>
    <row r="37" spans="1:34" ht="61.5" thickTop="1" thickBot="1" x14ac:dyDescent="0.3">
      <c r="A37" s="8">
        <v>21</v>
      </c>
      <c r="B37" s="8" t="s">
        <v>192</v>
      </c>
      <c r="C37" s="8" t="s">
        <v>193</v>
      </c>
      <c r="D37" s="8" t="s">
        <v>36</v>
      </c>
      <c r="E37" s="9">
        <v>10000</v>
      </c>
      <c r="F37" s="8" t="s">
        <v>114</v>
      </c>
      <c r="G37" s="8" t="s">
        <v>38</v>
      </c>
      <c r="H37" s="8" t="s">
        <v>40</v>
      </c>
      <c r="I37" s="8" t="s">
        <v>176</v>
      </c>
      <c r="J37" s="8" t="s">
        <v>194</v>
      </c>
      <c r="K37" s="8" t="s">
        <v>42</v>
      </c>
      <c r="L37" s="8">
        <v>0</v>
      </c>
      <c r="M37" s="8">
        <v>1</v>
      </c>
      <c r="N37" s="8">
        <v>0</v>
      </c>
      <c r="O37" s="8">
        <v>0</v>
      </c>
      <c r="P37" s="8">
        <v>0</v>
      </c>
      <c r="Q37" s="8"/>
      <c r="R37" s="8"/>
      <c r="S37" s="8"/>
      <c r="T37" s="8"/>
      <c r="U37" s="8"/>
      <c r="V37" s="8"/>
      <c r="W37" s="8"/>
      <c r="X37" s="8"/>
      <c r="Y37" s="8"/>
      <c r="Z37" s="8"/>
      <c r="AA37" s="8"/>
      <c r="AB37" s="8"/>
      <c r="AC37" s="8"/>
      <c r="AD37" s="8"/>
      <c r="AE37" s="9"/>
      <c r="AF37" s="8"/>
      <c r="AG37" s="8">
        <v>3</v>
      </c>
      <c r="AH37" s="8">
        <v>32</v>
      </c>
    </row>
    <row r="38" spans="1:34" ht="135.75" thickTop="1" x14ac:dyDescent="0.25">
      <c r="A38" s="10">
        <v>22</v>
      </c>
      <c r="B38" s="10" t="s">
        <v>195</v>
      </c>
      <c r="C38" s="10" t="s">
        <v>196</v>
      </c>
      <c r="D38" s="10" t="s">
        <v>197</v>
      </c>
      <c r="E38" s="11">
        <v>250000</v>
      </c>
      <c r="F38" s="10" t="s">
        <v>53</v>
      </c>
      <c r="G38" s="10" t="s">
        <v>108</v>
      </c>
      <c r="H38" s="10" t="s">
        <v>198</v>
      </c>
      <c r="I38" s="10" t="s">
        <v>159</v>
      </c>
      <c r="J38" s="10" t="s">
        <v>99</v>
      </c>
      <c r="K38" s="10" t="s">
        <v>58</v>
      </c>
      <c r="L38" s="10">
        <v>2</v>
      </c>
      <c r="M38" s="10">
        <v>1</v>
      </c>
      <c r="N38" s="10">
        <v>3</v>
      </c>
      <c r="O38" s="10">
        <v>0</v>
      </c>
      <c r="P38" s="10">
        <v>2</v>
      </c>
      <c r="Q38" s="10" t="s">
        <v>70</v>
      </c>
      <c r="R38" s="10" t="s">
        <v>199</v>
      </c>
      <c r="S38" s="10">
        <v>2025</v>
      </c>
      <c r="T38" s="10"/>
      <c r="U38" s="10">
        <v>2</v>
      </c>
      <c r="V38" s="10">
        <v>0</v>
      </c>
      <c r="W38" s="10" t="s">
        <v>200</v>
      </c>
      <c r="X38" s="10" t="s">
        <v>201</v>
      </c>
      <c r="Y38" s="10" t="s">
        <v>202</v>
      </c>
      <c r="Z38" s="10">
        <v>2024</v>
      </c>
      <c r="AA38" s="10" t="s">
        <v>203</v>
      </c>
      <c r="AB38" s="10" t="s">
        <v>99</v>
      </c>
      <c r="AC38" s="10" t="s">
        <v>204</v>
      </c>
      <c r="AD38" s="10"/>
      <c r="AE38" s="11">
        <v>198167</v>
      </c>
      <c r="AF38" s="10"/>
      <c r="AG38" s="10">
        <v>46</v>
      </c>
      <c r="AH38" s="10">
        <v>33</v>
      </c>
    </row>
    <row r="39" spans="1:34" ht="60" x14ac:dyDescent="0.25">
      <c r="A39" s="12">
        <v>22.1</v>
      </c>
      <c r="B39" s="12" t="s">
        <v>195</v>
      </c>
      <c r="C39" s="12" t="s">
        <v>196</v>
      </c>
      <c r="D39" s="12"/>
      <c r="E39" s="13"/>
      <c r="F39" s="12"/>
      <c r="G39" s="12"/>
      <c r="H39" s="12"/>
      <c r="I39" s="12"/>
      <c r="J39" s="12"/>
      <c r="K39" s="12"/>
      <c r="L39" s="12"/>
      <c r="M39" s="12"/>
      <c r="N39" s="12"/>
      <c r="O39" s="12"/>
      <c r="P39" s="12"/>
      <c r="Q39" s="12" t="s">
        <v>70</v>
      </c>
      <c r="R39" s="12" t="s">
        <v>205</v>
      </c>
      <c r="S39" s="12"/>
      <c r="T39" s="12" t="s">
        <v>206</v>
      </c>
      <c r="U39" s="12">
        <v>2</v>
      </c>
      <c r="V39" s="12">
        <v>0</v>
      </c>
      <c r="W39" s="12"/>
      <c r="X39" s="12"/>
      <c r="Y39" s="12"/>
      <c r="Z39" s="12"/>
      <c r="AA39" s="12"/>
      <c r="AB39" s="12"/>
      <c r="AC39" s="12"/>
      <c r="AD39" s="12"/>
      <c r="AE39" s="13"/>
      <c r="AF39" s="12"/>
      <c r="AG39" s="12">
        <v>46.1</v>
      </c>
      <c r="AH39" s="12">
        <v>33.1</v>
      </c>
    </row>
    <row r="40" spans="1:34" ht="45.75" thickBot="1" x14ac:dyDescent="0.3">
      <c r="A40" s="30">
        <v>22.2</v>
      </c>
      <c r="B40" s="30" t="s">
        <v>207</v>
      </c>
      <c r="C40" s="30" t="s">
        <v>196</v>
      </c>
      <c r="D40" s="30"/>
      <c r="E40" s="31"/>
      <c r="F40" s="30"/>
      <c r="G40" s="30"/>
      <c r="H40" s="30"/>
      <c r="I40" s="30"/>
      <c r="J40" s="30"/>
      <c r="K40" s="30"/>
      <c r="L40" s="30"/>
      <c r="M40" s="30"/>
      <c r="N40" s="30"/>
      <c r="O40" s="30"/>
      <c r="P40" s="30"/>
      <c r="Q40" s="30" t="s">
        <v>68</v>
      </c>
      <c r="R40" s="30" t="s">
        <v>208</v>
      </c>
      <c r="S40" s="30">
        <v>2022</v>
      </c>
      <c r="T40" s="30"/>
      <c r="U40" s="30">
        <v>1</v>
      </c>
      <c r="V40" s="30">
        <v>0</v>
      </c>
      <c r="W40" s="30"/>
      <c r="X40" s="30"/>
      <c r="Y40" s="30"/>
      <c r="Z40" s="30"/>
      <c r="AA40" s="30"/>
      <c r="AB40" s="30"/>
      <c r="AC40" s="30"/>
      <c r="AD40" s="30"/>
      <c r="AE40" s="31"/>
      <c r="AF40" s="30"/>
      <c r="AG40" s="30">
        <v>30</v>
      </c>
      <c r="AH40" s="30">
        <v>34</v>
      </c>
    </row>
    <row r="41" spans="1:34" ht="75.75" thickTop="1" x14ac:dyDescent="0.25">
      <c r="A41" s="14">
        <v>23</v>
      </c>
      <c r="B41" s="14" t="s">
        <v>209</v>
      </c>
      <c r="C41" s="14" t="s">
        <v>210</v>
      </c>
      <c r="D41" s="14" t="s">
        <v>127</v>
      </c>
      <c r="E41" s="15">
        <v>200000</v>
      </c>
      <c r="F41" s="14" t="s">
        <v>63</v>
      </c>
      <c r="G41" s="14" t="s">
        <v>129</v>
      </c>
      <c r="H41" s="14" t="s">
        <v>109</v>
      </c>
      <c r="I41" s="14" t="s">
        <v>128</v>
      </c>
      <c r="J41" s="14" t="s">
        <v>211</v>
      </c>
      <c r="K41" s="14" t="s">
        <v>88</v>
      </c>
      <c r="L41" s="14">
        <v>0</v>
      </c>
      <c r="M41" s="14">
        <v>0</v>
      </c>
      <c r="N41" s="14">
        <v>2</v>
      </c>
      <c r="O41" s="14">
        <v>0</v>
      </c>
      <c r="P41" s="14">
        <v>0</v>
      </c>
      <c r="Q41" s="14" t="s">
        <v>59</v>
      </c>
      <c r="R41" s="14" t="s">
        <v>212</v>
      </c>
      <c r="S41" s="14">
        <v>2025</v>
      </c>
      <c r="T41" s="14"/>
      <c r="U41" s="14">
        <v>1</v>
      </c>
      <c r="V41" s="14">
        <v>3</v>
      </c>
      <c r="W41" s="14"/>
      <c r="X41" s="14"/>
      <c r="Y41" s="14"/>
      <c r="Z41" s="14"/>
      <c r="AA41" s="14"/>
      <c r="AB41" s="14"/>
      <c r="AC41" s="14"/>
      <c r="AD41" s="14"/>
      <c r="AE41" s="15"/>
      <c r="AF41" s="14"/>
      <c r="AG41" s="14">
        <v>44</v>
      </c>
      <c r="AH41" s="14">
        <v>36</v>
      </c>
    </row>
    <row r="42" spans="1:34" ht="60" x14ac:dyDescent="0.25">
      <c r="A42" s="32">
        <v>23.1</v>
      </c>
      <c r="B42" s="32" t="s">
        <v>209</v>
      </c>
      <c r="C42" s="32" t="s">
        <v>210</v>
      </c>
      <c r="D42" s="32"/>
      <c r="E42" s="33"/>
      <c r="F42" s="32"/>
      <c r="G42" s="32"/>
      <c r="H42" s="32"/>
      <c r="I42" s="32"/>
      <c r="J42" s="32"/>
      <c r="K42" s="32"/>
      <c r="L42" s="32"/>
      <c r="M42" s="32"/>
      <c r="N42" s="32"/>
      <c r="O42" s="32"/>
      <c r="P42" s="32"/>
      <c r="Q42" s="32" t="s">
        <v>70</v>
      </c>
      <c r="R42" s="32" t="s">
        <v>213</v>
      </c>
      <c r="S42" s="32">
        <v>2025</v>
      </c>
      <c r="T42" s="32"/>
      <c r="U42" s="32">
        <v>1</v>
      </c>
      <c r="V42" s="32">
        <v>2</v>
      </c>
      <c r="W42" s="32"/>
      <c r="X42" s="32"/>
      <c r="Y42" s="32"/>
      <c r="Z42" s="32"/>
      <c r="AA42" s="32"/>
      <c r="AB42" s="32"/>
      <c r="AC42" s="32"/>
      <c r="AD42" s="32"/>
      <c r="AE42" s="33"/>
      <c r="AF42" s="32"/>
      <c r="AG42" s="32">
        <v>44.1</v>
      </c>
      <c r="AH42" s="32">
        <v>36.1</v>
      </c>
    </row>
    <row r="43" spans="1:34" ht="75" x14ac:dyDescent="0.25">
      <c r="A43" s="32">
        <v>23.2</v>
      </c>
      <c r="B43" s="32" t="s">
        <v>209</v>
      </c>
      <c r="C43" s="32" t="s">
        <v>210</v>
      </c>
      <c r="D43" s="32"/>
      <c r="E43" s="33"/>
      <c r="F43" s="32"/>
      <c r="G43" s="32"/>
      <c r="H43" s="32"/>
      <c r="I43" s="32"/>
      <c r="J43" s="32"/>
      <c r="K43" s="32"/>
      <c r="L43" s="32"/>
      <c r="M43" s="32"/>
      <c r="N43" s="32"/>
      <c r="O43" s="32"/>
      <c r="P43" s="32"/>
      <c r="Q43" s="32" t="s">
        <v>70</v>
      </c>
      <c r="R43" s="32" t="s">
        <v>214</v>
      </c>
      <c r="S43" s="32">
        <v>2025</v>
      </c>
      <c r="T43" s="32"/>
      <c r="U43" s="32">
        <v>1</v>
      </c>
      <c r="V43" s="32">
        <v>1</v>
      </c>
      <c r="W43" s="32"/>
      <c r="X43" s="32"/>
      <c r="Y43" s="32"/>
      <c r="Z43" s="32"/>
      <c r="AA43" s="32"/>
      <c r="AB43" s="32"/>
      <c r="AC43" s="32"/>
      <c r="AD43" s="32"/>
      <c r="AE43" s="33"/>
      <c r="AF43" s="32"/>
      <c r="AG43" s="32">
        <v>44.2</v>
      </c>
      <c r="AH43" s="32">
        <v>36.200000000000003</v>
      </c>
    </row>
    <row r="44" spans="1:34" ht="75" x14ac:dyDescent="0.25">
      <c r="A44" s="32">
        <v>23.3</v>
      </c>
      <c r="B44" s="32" t="s">
        <v>215</v>
      </c>
      <c r="C44" s="32" t="s">
        <v>210</v>
      </c>
      <c r="D44" s="32"/>
      <c r="E44" s="33"/>
      <c r="F44" s="32"/>
      <c r="G44" s="32"/>
      <c r="H44" s="32"/>
      <c r="I44" s="32"/>
      <c r="J44" s="32"/>
      <c r="K44" s="32"/>
      <c r="L44" s="32"/>
      <c r="M44" s="32"/>
      <c r="N44" s="32"/>
      <c r="O44" s="32"/>
      <c r="P44" s="32"/>
      <c r="Q44" s="32" t="s">
        <v>70</v>
      </c>
      <c r="R44" s="32" t="s">
        <v>216</v>
      </c>
      <c r="S44" s="32">
        <v>2023</v>
      </c>
      <c r="T44" s="32"/>
      <c r="U44" s="32">
        <v>1</v>
      </c>
      <c r="V44" s="32">
        <v>0</v>
      </c>
      <c r="W44" s="32"/>
      <c r="X44" s="32"/>
      <c r="Y44" s="32"/>
      <c r="Z44" s="32"/>
      <c r="AA44" s="32"/>
      <c r="AB44" s="32"/>
      <c r="AC44" s="32"/>
      <c r="AD44" s="32"/>
      <c r="AE44" s="33"/>
      <c r="AF44" s="32"/>
      <c r="AG44" s="32">
        <v>27</v>
      </c>
      <c r="AH44" s="32">
        <v>37</v>
      </c>
    </row>
    <row r="45" spans="1:34" ht="75" x14ac:dyDescent="0.25">
      <c r="A45" s="32">
        <v>23.4</v>
      </c>
      <c r="B45" s="32" t="s">
        <v>215</v>
      </c>
      <c r="C45" s="32" t="s">
        <v>210</v>
      </c>
      <c r="D45" s="32"/>
      <c r="E45" s="33"/>
      <c r="F45" s="32"/>
      <c r="G45" s="32"/>
      <c r="H45" s="32"/>
      <c r="I45" s="32"/>
      <c r="J45" s="32"/>
      <c r="K45" s="32"/>
      <c r="L45" s="32"/>
      <c r="M45" s="32"/>
      <c r="N45" s="32"/>
      <c r="O45" s="32"/>
      <c r="P45" s="32"/>
      <c r="Q45" s="32" t="s">
        <v>70</v>
      </c>
      <c r="R45" s="32" t="s">
        <v>217</v>
      </c>
      <c r="S45" s="32">
        <v>2024</v>
      </c>
      <c r="T45" s="32"/>
      <c r="U45" s="32">
        <v>0</v>
      </c>
      <c r="V45" s="32">
        <v>0</v>
      </c>
      <c r="W45" s="32"/>
      <c r="X45" s="32"/>
      <c r="Y45" s="32"/>
      <c r="Z45" s="32"/>
      <c r="AA45" s="32"/>
      <c r="AB45" s="32"/>
      <c r="AC45" s="32"/>
      <c r="AD45" s="32"/>
      <c r="AE45" s="33"/>
      <c r="AF45" s="32"/>
      <c r="AG45" s="32">
        <v>27.1</v>
      </c>
      <c r="AH45" s="32">
        <v>37.1</v>
      </c>
    </row>
    <row r="46" spans="1:34" ht="90" x14ac:dyDescent="0.25">
      <c r="A46" s="32">
        <v>23.5</v>
      </c>
      <c r="B46" s="32" t="s">
        <v>215</v>
      </c>
      <c r="C46" s="32" t="s">
        <v>210</v>
      </c>
      <c r="D46" s="32"/>
      <c r="E46" s="33"/>
      <c r="F46" s="32"/>
      <c r="G46" s="32"/>
      <c r="H46" s="32"/>
      <c r="I46" s="32"/>
      <c r="J46" s="32"/>
      <c r="K46" s="32"/>
      <c r="L46" s="32"/>
      <c r="M46" s="32"/>
      <c r="N46" s="32"/>
      <c r="O46" s="32"/>
      <c r="P46" s="32"/>
      <c r="Q46" s="32" t="s">
        <v>70</v>
      </c>
      <c r="R46" s="32" t="s">
        <v>218</v>
      </c>
      <c r="S46" s="32">
        <v>2024</v>
      </c>
      <c r="T46" s="32"/>
      <c r="U46" s="32">
        <v>1</v>
      </c>
      <c r="V46" s="32">
        <v>3</v>
      </c>
      <c r="W46" s="32"/>
      <c r="X46" s="32"/>
      <c r="Y46" s="32"/>
      <c r="Z46" s="32"/>
      <c r="AA46" s="32"/>
      <c r="AB46" s="32"/>
      <c r="AC46" s="32"/>
      <c r="AD46" s="32"/>
      <c r="AE46" s="33"/>
      <c r="AF46" s="32"/>
      <c r="AG46" s="32">
        <v>27.2</v>
      </c>
      <c r="AH46" s="32">
        <v>37.200000000000003</v>
      </c>
    </row>
    <row r="47" spans="1:34" ht="45" x14ac:dyDescent="0.25">
      <c r="A47" s="32">
        <v>23.6</v>
      </c>
      <c r="B47" s="32" t="s">
        <v>215</v>
      </c>
      <c r="C47" s="32" t="s">
        <v>210</v>
      </c>
      <c r="D47" s="32"/>
      <c r="E47" s="33"/>
      <c r="F47" s="32"/>
      <c r="G47" s="32"/>
      <c r="H47" s="32"/>
      <c r="I47" s="32"/>
      <c r="J47" s="32"/>
      <c r="K47" s="32"/>
      <c r="L47" s="32"/>
      <c r="M47" s="32"/>
      <c r="N47" s="32"/>
      <c r="O47" s="32"/>
      <c r="P47" s="32"/>
      <c r="Q47" s="32" t="s">
        <v>131</v>
      </c>
      <c r="R47" s="32" t="s">
        <v>219</v>
      </c>
      <c r="S47" s="32">
        <v>2023</v>
      </c>
      <c r="T47" s="32"/>
      <c r="U47" s="32">
        <v>1</v>
      </c>
      <c r="V47" s="32">
        <v>0</v>
      </c>
      <c r="W47" s="32"/>
      <c r="X47" s="32"/>
      <c r="Y47" s="32"/>
      <c r="Z47" s="32"/>
      <c r="AA47" s="32"/>
      <c r="AB47" s="32"/>
      <c r="AC47" s="32"/>
      <c r="AD47" s="32"/>
      <c r="AE47" s="33"/>
      <c r="AF47" s="32"/>
      <c r="AG47" s="32">
        <v>27.3</v>
      </c>
      <c r="AH47" s="32">
        <v>37.299999999999997</v>
      </c>
    </row>
    <row r="48" spans="1:34" ht="60" x14ac:dyDescent="0.25">
      <c r="A48" s="32">
        <v>23.7</v>
      </c>
      <c r="B48" s="32" t="s">
        <v>215</v>
      </c>
      <c r="C48" s="32" t="s">
        <v>210</v>
      </c>
      <c r="D48" s="32"/>
      <c r="E48" s="33"/>
      <c r="F48" s="32"/>
      <c r="G48" s="32"/>
      <c r="H48" s="32"/>
      <c r="I48" s="32"/>
      <c r="J48" s="32"/>
      <c r="K48" s="32"/>
      <c r="L48" s="32"/>
      <c r="M48" s="32"/>
      <c r="N48" s="32"/>
      <c r="O48" s="32"/>
      <c r="P48" s="32"/>
      <c r="Q48" s="32" t="s">
        <v>131</v>
      </c>
      <c r="R48" s="32" t="s">
        <v>220</v>
      </c>
      <c r="S48" s="32">
        <v>2023</v>
      </c>
      <c r="T48" s="32"/>
      <c r="U48" s="32">
        <v>0</v>
      </c>
      <c r="V48" s="32">
        <v>0</v>
      </c>
      <c r="W48" s="32"/>
      <c r="X48" s="32"/>
      <c r="Y48" s="32"/>
      <c r="Z48" s="32"/>
      <c r="AA48" s="32"/>
      <c r="AB48" s="32"/>
      <c r="AC48" s="32"/>
      <c r="AD48" s="32"/>
      <c r="AE48" s="33"/>
      <c r="AF48" s="32"/>
      <c r="AG48" s="32">
        <v>27.4</v>
      </c>
      <c r="AH48" s="32">
        <v>37.4</v>
      </c>
    </row>
    <row r="49" spans="1:34" ht="90" x14ac:dyDescent="0.25">
      <c r="A49" s="32">
        <v>23.8</v>
      </c>
      <c r="B49" s="32" t="s">
        <v>215</v>
      </c>
      <c r="C49" s="32" t="s">
        <v>210</v>
      </c>
      <c r="D49" s="32"/>
      <c r="E49" s="33"/>
      <c r="F49" s="32"/>
      <c r="G49" s="32"/>
      <c r="H49" s="32"/>
      <c r="I49" s="32"/>
      <c r="J49" s="32"/>
      <c r="K49" s="32"/>
      <c r="L49" s="32"/>
      <c r="M49" s="32"/>
      <c r="N49" s="32"/>
      <c r="O49" s="32"/>
      <c r="P49" s="32"/>
      <c r="Q49" s="32" t="s">
        <v>131</v>
      </c>
      <c r="R49" s="32" t="s">
        <v>221</v>
      </c>
      <c r="S49" s="32">
        <v>2023</v>
      </c>
      <c r="T49" s="32" t="s">
        <v>150</v>
      </c>
      <c r="U49" s="32">
        <v>1</v>
      </c>
      <c r="V49" s="32">
        <v>3</v>
      </c>
      <c r="W49" s="32"/>
      <c r="X49" s="32"/>
      <c r="Y49" s="32"/>
      <c r="Z49" s="32"/>
      <c r="AA49" s="32"/>
      <c r="AB49" s="32"/>
      <c r="AC49" s="32"/>
      <c r="AD49" s="32"/>
      <c r="AE49" s="33"/>
      <c r="AF49" s="32"/>
      <c r="AG49" s="32">
        <v>27.6</v>
      </c>
      <c r="AH49" s="32">
        <v>37.6</v>
      </c>
    </row>
    <row r="50" spans="1:34" ht="60.75" thickBot="1" x14ac:dyDescent="0.3">
      <c r="A50" s="32">
        <v>23.9</v>
      </c>
      <c r="B50" s="32" t="s">
        <v>215</v>
      </c>
      <c r="C50" s="32" t="s">
        <v>210</v>
      </c>
      <c r="D50" s="32"/>
      <c r="E50" s="33"/>
      <c r="F50" s="32"/>
      <c r="G50" s="32"/>
      <c r="H50" s="32"/>
      <c r="I50" s="32"/>
      <c r="J50" s="32"/>
      <c r="K50" s="32"/>
      <c r="L50" s="32"/>
      <c r="M50" s="32"/>
      <c r="N50" s="32"/>
      <c r="O50" s="32"/>
      <c r="P50" s="32"/>
      <c r="Q50" s="32" t="s">
        <v>70</v>
      </c>
      <c r="R50" s="32" t="s">
        <v>222</v>
      </c>
      <c r="S50" s="32"/>
      <c r="T50" s="32" t="s">
        <v>90</v>
      </c>
      <c r="U50" s="32">
        <v>1</v>
      </c>
      <c r="V50" s="32">
        <v>3</v>
      </c>
      <c r="W50" s="32"/>
      <c r="X50" s="32"/>
      <c r="Y50" s="32"/>
      <c r="Z50" s="32"/>
      <c r="AA50" s="32"/>
      <c r="AB50" s="32"/>
      <c r="AC50" s="32"/>
      <c r="AD50" s="32"/>
      <c r="AE50" s="33"/>
      <c r="AF50" s="32"/>
      <c r="AG50" s="32">
        <v>22.2</v>
      </c>
      <c r="AH50" s="32">
        <v>38.200000000000003</v>
      </c>
    </row>
    <row r="51" spans="1:34" ht="60.75" thickTop="1" x14ac:dyDescent="0.25">
      <c r="A51" s="16">
        <v>24</v>
      </c>
      <c r="B51" s="16" t="s">
        <v>223</v>
      </c>
      <c r="C51" s="16" t="s">
        <v>224</v>
      </c>
      <c r="D51" s="16" t="s">
        <v>36</v>
      </c>
      <c r="E51" s="17">
        <v>15000</v>
      </c>
      <c r="F51" s="16" t="s">
        <v>37</v>
      </c>
      <c r="G51" s="16" t="s">
        <v>225</v>
      </c>
      <c r="H51" s="16" t="s">
        <v>128</v>
      </c>
      <c r="I51" s="16" t="s">
        <v>76</v>
      </c>
      <c r="J51" s="16" t="s">
        <v>67</v>
      </c>
      <c r="K51" s="16" t="s">
        <v>88</v>
      </c>
      <c r="L51" s="16">
        <v>0</v>
      </c>
      <c r="M51" s="16">
        <v>0</v>
      </c>
      <c r="N51" s="16">
        <v>1</v>
      </c>
      <c r="O51" s="16">
        <v>0</v>
      </c>
      <c r="P51" s="16">
        <v>1</v>
      </c>
      <c r="Q51" s="16" t="s">
        <v>68</v>
      </c>
      <c r="R51" s="16" t="s">
        <v>226</v>
      </c>
      <c r="S51" s="16">
        <v>2025</v>
      </c>
      <c r="T51" s="16"/>
      <c r="U51" s="16">
        <v>1</v>
      </c>
      <c r="V51" s="16">
        <v>0</v>
      </c>
      <c r="W51" s="16"/>
      <c r="X51" s="16"/>
      <c r="Y51" s="16"/>
      <c r="Z51" s="16"/>
      <c r="AA51" s="16"/>
      <c r="AB51" s="16"/>
      <c r="AC51" s="16"/>
      <c r="AD51" s="16"/>
      <c r="AE51" s="17"/>
      <c r="AF51" s="16"/>
      <c r="AG51" s="16">
        <v>40</v>
      </c>
      <c r="AH51" s="16">
        <v>39</v>
      </c>
    </row>
    <row r="52" spans="1:34" ht="45.75" thickBot="1" x14ac:dyDescent="0.3">
      <c r="A52" s="18">
        <v>24.1</v>
      </c>
      <c r="B52" s="18" t="s">
        <v>223</v>
      </c>
      <c r="C52" s="18" t="s">
        <v>224</v>
      </c>
      <c r="D52" s="18"/>
      <c r="E52" s="19"/>
      <c r="F52" s="18"/>
      <c r="G52" s="18"/>
      <c r="H52" s="18"/>
      <c r="I52" s="18"/>
      <c r="J52" s="18"/>
      <c r="K52" s="18"/>
      <c r="L52" s="18"/>
      <c r="M52" s="18"/>
      <c r="N52" s="18"/>
      <c r="O52" s="18"/>
      <c r="P52" s="18"/>
      <c r="Q52" s="18" t="s">
        <v>59</v>
      </c>
      <c r="R52" s="18" t="s">
        <v>227</v>
      </c>
      <c r="S52" s="18"/>
      <c r="T52" s="18" t="s">
        <v>90</v>
      </c>
      <c r="U52" s="18">
        <v>2</v>
      </c>
      <c r="V52" s="18">
        <v>0</v>
      </c>
      <c r="W52" s="18"/>
      <c r="X52" s="18"/>
      <c r="Y52" s="18"/>
      <c r="Z52" s="18"/>
      <c r="AA52" s="18"/>
      <c r="AB52" s="18"/>
      <c r="AC52" s="18"/>
      <c r="AD52" s="18"/>
      <c r="AE52" s="19"/>
      <c r="AF52" s="18"/>
      <c r="AG52" s="18">
        <v>40.1</v>
      </c>
      <c r="AH52" s="18">
        <v>39.1</v>
      </c>
    </row>
    <row r="53" spans="1:34" ht="106.5" thickTop="1" thickBot="1" x14ac:dyDescent="0.3">
      <c r="A53" s="4">
        <v>25</v>
      </c>
      <c r="B53" s="4" t="s">
        <v>228</v>
      </c>
      <c r="C53" s="4" t="s">
        <v>229</v>
      </c>
      <c r="D53" s="4" t="s">
        <v>36</v>
      </c>
      <c r="E53" s="5">
        <v>5000</v>
      </c>
      <c r="F53" s="4" t="s">
        <v>174</v>
      </c>
      <c r="G53" s="4" t="s">
        <v>230</v>
      </c>
      <c r="H53" s="4" t="s">
        <v>231</v>
      </c>
      <c r="I53" s="4" t="s">
        <v>232</v>
      </c>
      <c r="J53" s="4" t="s">
        <v>233</v>
      </c>
      <c r="K53" s="4"/>
      <c r="L53" s="4">
        <v>0</v>
      </c>
      <c r="M53" s="4">
        <v>0</v>
      </c>
      <c r="N53" s="4">
        <v>0</v>
      </c>
      <c r="O53" s="4">
        <v>0</v>
      </c>
      <c r="P53" s="4">
        <v>0</v>
      </c>
      <c r="Q53" s="4" t="s">
        <v>70</v>
      </c>
      <c r="R53" s="4" t="s">
        <v>234</v>
      </c>
      <c r="S53" s="4">
        <v>2024</v>
      </c>
      <c r="T53" s="4"/>
      <c r="U53" s="4">
        <v>2</v>
      </c>
      <c r="V53" s="4">
        <v>0</v>
      </c>
      <c r="W53" s="4"/>
      <c r="X53" s="4"/>
      <c r="Y53" s="4"/>
      <c r="Z53" s="4"/>
      <c r="AA53" s="4"/>
      <c r="AB53" s="4"/>
      <c r="AC53" s="4"/>
      <c r="AD53" s="4"/>
      <c r="AE53" s="5"/>
      <c r="AF53" s="4"/>
      <c r="AG53" s="4">
        <v>34</v>
      </c>
      <c r="AH53" s="4">
        <v>40</v>
      </c>
    </row>
    <row r="54" spans="1:34" ht="91.5" thickTop="1" thickBot="1" x14ac:dyDescent="0.3">
      <c r="A54" s="6">
        <v>26</v>
      </c>
      <c r="B54" s="6" t="s">
        <v>235</v>
      </c>
      <c r="C54" s="6" t="s">
        <v>236</v>
      </c>
      <c r="D54" s="6" t="s">
        <v>36</v>
      </c>
      <c r="E54" s="7">
        <v>10000</v>
      </c>
      <c r="F54" s="6" t="s">
        <v>63</v>
      </c>
      <c r="G54" s="6" t="s">
        <v>38</v>
      </c>
      <c r="H54" s="6" t="s">
        <v>230</v>
      </c>
      <c r="I54" s="6" t="s">
        <v>39</v>
      </c>
      <c r="J54" s="6" t="s">
        <v>237</v>
      </c>
      <c r="K54" s="6" t="s">
        <v>42</v>
      </c>
      <c r="L54" s="6">
        <v>0</v>
      </c>
      <c r="M54" s="6">
        <v>0</v>
      </c>
      <c r="N54" s="6">
        <v>1</v>
      </c>
      <c r="O54" s="6">
        <v>0</v>
      </c>
      <c r="P54" s="6">
        <v>0</v>
      </c>
      <c r="Q54" s="6"/>
      <c r="R54" s="6"/>
      <c r="S54" s="6"/>
      <c r="T54" s="6"/>
      <c r="U54" s="6"/>
      <c r="V54" s="6"/>
      <c r="W54" s="6"/>
      <c r="X54" s="6"/>
      <c r="Y54" s="6"/>
      <c r="Z54" s="6"/>
      <c r="AA54" s="6"/>
      <c r="AB54" s="6"/>
      <c r="AC54" s="6"/>
      <c r="AD54" s="6"/>
      <c r="AE54" s="7"/>
      <c r="AF54" s="6"/>
      <c r="AG54" s="6">
        <v>4</v>
      </c>
      <c r="AH54" s="6">
        <v>42</v>
      </c>
    </row>
    <row r="55" spans="1:34" ht="61.5" thickTop="1" thickBot="1" x14ac:dyDescent="0.3">
      <c r="A55" s="8">
        <v>27</v>
      </c>
      <c r="B55" s="8" t="s">
        <v>238</v>
      </c>
      <c r="C55" s="8" t="s">
        <v>239</v>
      </c>
      <c r="D55" s="8" t="s">
        <v>36</v>
      </c>
      <c r="E55" s="9">
        <v>9999</v>
      </c>
      <c r="F55" s="8"/>
      <c r="G55" s="8" t="s">
        <v>138</v>
      </c>
      <c r="H55" s="8"/>
      <c r="I55" s="8"/>
      <c r="J55" s="8" t="s">
        <v>240</v>
      </c>
      <c r="K55" s="8"/>
      <c r="L55" s="8">
        <v>0</v>
      </c>
      <c r="M55" s="8">
        <v>2</v>
      </c>
      <c r="N55" s="8">
        <v>1</v>
      </c>
      <c r="O55" s="8"/>
      <c r="P55" s="8"/>
      <c r="Q55" s="8" t="s">
        <v>70</v>
      </c>
      <c r="R55" s="8" t="s">
        <v>241</v>
      </c>
      <c r="S55" s="8"/>
      <c r="T55" s="8"/>
      <c r="U55" s="8">
        <v>3</v>
      </c>
      <c r="V55" s="8"/>
      <c r="W55" s="8"/>
      <c r="X55" s="8"/>
      <c r="Y55" s="8"/>
      <c r="Z55" s="8"/>
      <c r="AA55" s="8"/>
      <c r="AB55" s="8"/>
      <c r="AC55" s="8"/>
      <c r="AD55" s="8"/>
      <c r="AE55" s="9"/>
      <c r="AF55" s="8"/>
      <c r="AG55" s="8">
        <v>9</v>
      </c>
      <c r="AH55" s="8">
        <v>43</v>
      </c>
    </row>
    <row r="56" spans="1:34" ht="76.5" thickTop="1" thickBot="1" x14ac:dyDescent="0.3">
      <c r="A56" s="10">
        <v>28</v>
      </c>
      <c r="B56" s="10" t="s">
        <v>242</v>
      </c>
      <c r="C56" s="10" t="s">
        <v>243</v>
      </c>
      <c r="D56" s="10" t="s">
        <v>36</v>
      </c>
      <c r="E56" s="11">
        <v>15000</v>
      </c>
      <c r="F56" s="10" t="s">
        <v>53</v>
      </c>
      <c r="G56" s="10" t="s">
        <v>108</v>
      </c>
      <c r="H56" s="10" t="s">
        <v>54</v>
      </c>
      <c r="I56" s="10" t="s">
        <v>244</v>
      </c>
      <c r="J56" s="10" t="s">
        <v>245</v>
      </c>
      <c r="K56" s="10" t="s">
        <v>246</v>
      </c>
      <c r="L56" s="10">
        <v>0</v>
      </c>
      <c r="M56" s="10">
        <v>0</v>
      </c>
      <c r="N56" s="10">
        <v>0</v>
      </c>
      <c r="O56" s="10">
        <v>0</v>
      </c>
      <c r="P56" s="10">
        <v>0</v>
      </c>
      <c r="Q56" s="10"/>
      <c r="R56" s="10"/>
      <c r="S56" s="10"/>
      <c r="T56" s="10"/>
      <c r="U56" s="10"/>
      <c r="V56" s="10"/>
      <c r="W56" s="10"/>
      <c r="X56" s="10"/>
      <c r="Y56" s="10"/>
      <c r="Z56" s="10"/>
      <c r="AA56" s="10"/>
      <c r="AB56" s="10"/>
      <c r="AC56" s="10"/>
      <c r="AD56" s="10"/>
      <c r="AE56" s="11"/>
      <c r="AF56" s="10"/>
      <c r="AG56" s="10">
        <v>42</v>
      </c>
      <c r="AH56" s="10">
        <v>44</v>
      </c>
    </row>
    <row r="57" spans="1:34" ht="60.75" thickTop="1" x14ac:dyDescent="0.25">
      <c r="A57" s="14">
        <v>29</v>
      </c>
      <c r="B57" s="14" t="s">
        <v>247</v>
      </c>
      <c r="C57" s="14" t="s">
        <v>248</v>
      </c>
      <c r="D57" s="14" t="s">
        <v>36</v>
      </c>
      <c r="E57" s="15">
        <v>9887</v>
      </c>
      <c r="F57" s="14" t="s">
        <v>53</v>
      </c>
      <c r="G57" s="14" t="s">
        <v>138</v>
      </c>
      <c r="H57" s="14" t="s">
        <v>249</v>
      </c>
      <c r="I57" s="14" t="s">
        <v>98</v>
      </c>
      <c r="J57" s="14" t="s">
        <v>250</v>
      </c>
      <c r="K57" s="14" t="s">
        <v>251</v>
      </c>
      <c r="L57" s="14">
        <v>0</v>
      </c>
      <c r="M57" s="14">
        <v>0</v>
      </c>
      <c r="N57" s="14">
        <v>1</v>
      </c>
      <c r="O57" s="14">
        <v>0</v>
      </c>
      <c r="P57" s="14">
        <v>0</v>
      </c>
      <c r="Q57" s="14"/>
      <c r="R57" s="14"/>
      <c r="S57" s="14"/>
      <c r="T57" s="14"/>
      <c r="U57" s="14"/>
      <c r="V57" s="14"/>
      <c r="W57" s="14" t="s">
        <v>119</v>
      </c>
      <c r="X57" s="14" t="s">
        <v>251</v>
      </c>
      <c r="Y57" s="14" t="s">
        <v>252</v>
      </c>
      <c r="Z57" s="14">
        <v>2021</v>
      </c>
      <c r="AA57" s="14"/>
      <c r="AB57" s="14" t="s">
        <v>253</v>
      </c>
      <c r="AC57" s="14" t="s">
        <v>166</v>
      </c>
      <c r="AD57" s="14"/>
      <c r="AE57" s="15">
        <v>4500</v>
      </c>
      <c r="AF57" s="14"/>
      <c r="AG57" s="14">
        <v>5</v>
      </c>
      <c r="AH57" s="14">
        <v>45</v>
      </c>
    </row>
    <row r="58" spans="1:34" ht="60.75" thickBot="1" x14ac:dyDescent="0.3">
      <c r="A58" s="32">
        <v>29.1</v>
      </c>
      <c r="B58" s="32" t="s">
        <v>247</v>
      </c>
      <c r="C58" s="32" t="s">
        <v>248</v>
      </c>
      <c r="D58" s="32"/>
      <c r="E58" s="33"/>
      <c r="F58" s="32"/>
      <c r="G58" s="32"/>
      <c r="H58" s="32"/>
      <c r="I58" s="32"/>
      <c r="J58" s="32"/>
      <c r="K58" s="32"/>
      <c r="L58" s="32"/>
      <c r="M58" s="32"/>
      <c r="N58" s="32"/>
      <c r="O58" s="32"/>
      <c r="P58" s="32"/>
      <c r="Q58" s="32"/>
      <c r="R58" s="32"/>
      <c r="S58" s="32"/>
      <c r="T58" s="32"/>
      <c r="U58" s="32"/>
      <c r="V58" s="32"/>
      <c r="W58" s="32" t="s">
        <v>254</v>
      </c>
      <c r="X58" s="32" t="s">
        <v>251</v>
      </c>
      <c r="Y58" s="32" t="s">
        <v>255</v>
      </c>
      <c r="Z58" s="32">
        <v>2021</v>
      </c>
      <c r="AA58" s="32"/>
      <c r="AB58" s="32" t="s">
        <v>256</v>
      </c>
      <c r="AC58" s="32" t="s">
        <v>166</v>
      </c>
      <c r="AD58" s="32"/>
      <c r="AE58" s="33"/>
      <c r="AF58" s="32"/>
      <c r="AG58" s="32">
        <v>5.0999999999999996</v>
      </c>
      <c r="AH58" s="32">
        <v>45.1</v>
      </c>
    </row>
    <row r="59" spans="1:34" ht="90.75" thickTop="1" x14ac:dyDescent="0.25">
      <c r="A59" s="16">
        <v>30</v>
      </c>
      <c r="B59" s="16" t="s">
        <v>257</v>
      </c>
      <c r="C59" s="16" t="s">
        <v>258</v>
      </c>
      <c r="D59" s="16" t="s">
        <v>83</v>
      </c>
      <c r="E59" s="17">
        <v>240624</v>
      </c>
      <c r="F59" s="16" t="s">
        <v>84</v>
      </c>
      <c r="G59" s="16" t="s">
        <v>85</v>
      </c>
      <c r="H59" s="16" t="s">
        <v>55</v>
      </c>
      <c r="I59" s="16" t="s">
        <v>86</v>
      </c>
      <c r="J59" s="16" t="s">
        <v>259</v>
      </c>
      <c r="K59" s="16" t="s">
        <v>88</v>
      </c>
      <c r="L59" s="16">
        <v>2</v>
      </c>
      <c r="M59" s="16">
        <v>1</v>
      </c>
      <c r="N59" s="16">
        <v>0</v>
      </c>
      <c r="O59" s="16">
        <v>0</v>
      </c>
      <c r="P59" s="16">
        <v>1</v>
      </c>
      <c r="Q59" s="16" t="s">
        <v>70</v>
      </c>
      <c r="R59" s="16" t="s">
        <v>260</v>
      </c>
      <c r="S59" s="16">
        <v>2025</v>
      </c>
      <c r="T59" s="16"/>
      <c r="U59" s="16">
        <v>1</v>
      </c>
      <c r="V59" s="16">
        <v>0</v>
      </c>
      <c r="W59" s="16" t="s">
        <v>119</v>
      </c>
      <c r="X59" s="16" t="s">
        <v>261</v>
      </c>
      <c r="Y59" s="16" t="s">
        <v>262</v>
      </c>
      <c r="Z59" s="16">
        <v>2024</v>
      </c>
      <c r="AA59" s="16" t="s">
        <v>164</v>
      </c>
      <c r="AB59" s="16" t="s">
        <v>263</v>
      </c>
      <c r="AC59" s="16" t="s">
        <v>166</v>
      </c>
      <c r="AD59" s="16"/>
      <c r="AE59" s="17">
        <v>250</v>
      </c>
      <c r="AF59" s="16" t="s">
        <v>264</v>
      </c>
      <c r="AG59" s="16">
        <v>49</v>
      </c>
      <c r="AH59" s="16">
        <v>46</v>
      </c>
    </row>
    <row r="60" spans="1:34" ht="60" x14ac:dyDescent="0.25">
      <c r="A60" s="18">
        <v>30.1</v>
      </c>
      <c r="B60" s="18" t="s">
        <v>257</v>
      </c>
      <c r="C60" s="18" t="s">
        <v>258</v>
      </c>
      <c r="D60" s="18"/>
      <c r="E60" s="19"/>
      <c r="F60" s="18"/>
      <c r="G60" s="18"/>
      <c r="H60" s="18"/>
      <c r="I60" s="18"/>
      <c r="J60" s="18"/>
      <c r="K60" s="18"/>
      <c r="L60" s="18"/>
      <c r="M60" s="18"/>
      <c r="N60" s="18"/>
      <c r="O60" s="18"/>
      <c r="P60" s="18"/>
      <c r="Q60" s="18" t="s">
        <v>131</v>
      </c>
      <c r="R60" s="18" t="s">
        <v>265</v>
      </c>
      <c r="S60" s="18"/>
      <c r="T60" s="18"/>
      <c r="U60" s="18"/>
      <c r="V60" s="18"/>
      <c r="W60" s="18" t="s">
        <v>119</v>
      </c>
      <c r="X60" s="18"/>
      <c r="Y60" s="18" t="s">
        <v>266</v>
      </c>
      <c r="Z60" s="18">
        <v>2024</v>
      </c>
      <c r="AA60" s="18" t="s">
        <v>267</v>
      </c>
      <c r="AB60" s="18" t="s">
        <v>263</v>
      </c>
      <c r="AC60" s="18" t="s">
        <v>166</v>
      </c>
      <c r="AD60" s="18"/>
      <c r="AE60" s="19"/>
      <c r="AF60" s="18" t="s">
        <v>268</v>
      </c>
      <c r="AG60" s="18">
        <v>49.1</v>
      </c>
      <c r="AH60" s="18">
        <v>46.1</v>
      </c>
    </row>
    <row r="61" spans="1:34" ht="75" x14ac:dyDescent="0.25">
      <c r="A61" s="18">
        <v>30.2</v>
      </c>
      <c r="B61" s="18" t="s">
        <v>257</v>
      </c>
      <c r="C61" s="18" t="s">
        <v>258</v>
      </c>
      <c r="D61" s="18"/>
      <c r="E61" s="19"/>
      <c r="F61" s="18"/>
      <c r="G61" s="18"/>
      <c r="H61" s="18"/>
      <c r="I61" s="18"/>
      <c r="J61" s="18"/>
      <c r="K61" s="18"/>
      <c r="L61" s="18"/>
      <c r="M61" s="18"/>
      <c r="N61" s="18"/>
      <c r="O61" s="18"/>
      <c r="P61" s="18"/>
      <c r="Q61" s="18" t="s">
        <v>131</v>
      </c>
      <c r="R61" s="18" t="s">
        <v>269</v>
      </c>
      <c r="S61" s="18"/>
      <c r="T61" s="18"/>
      <c r="U61" s="18"/>
      <c r="V61" s="18"/>
      <c r="W61" s="18" t="s">
        <v>119</v>
      </c>
      <c r="X61" s="18" t="s">
        <v>270</v>
      </c>
      <c r="Y61" s="18" t="s">
        <v>271</v>
      </c>
      <c r="Z61" s="18">
        <v>2024</v>
      </c>
      <c r="AA61" s="18"/>
      <c r="AB61" s="18" t="s">
        <v>259</v>
      </c>
      <c r="AC61" s="18" t="s">
        <v>204</v>
      </c>
      <c r="AD61" s="18"/>
      <c r="AE61" s="19"/>
      <c r="AF61" s="18"/>
      <c r="AG61" s="18">
        <v>49.2</v>
      </c>
      <c r="AH61" s="18">
        <v>46.2</v>
      </c>
    </row>
    <row r="62" spans="1:34" ht="60" x14ac:dyDescent="0.25">
      <c r="A62" s="18">
        <v>30.3</v>
      </c>
      <c r="B62" s="18" t="s">
        <v>257</v>
      </c>
      <c r="C62" s="18" t="s">
        <v>258</v>
      </c>
      <c r="D62" s="18"/>
      <c r="E62" s="19"/>
      <c r="F62" s="18"/>
      <c r="G62" s="18"/>
      <c r="H62" s="18"/>
      <c r="I62" s="18"/>
      <c r="J62" s="18"/>
      <c r="K62" s="18"/>
      <c r="L62" s="18"/>
      <c r="M62" s="18"/>
      <c r="N62" s="18"/>
      <c r="O62" s="18"/>
      <c r="P62" s="18"/>
      <c r="Q62" s="18" t="s">
        <v>131</v>
      </c>
      <c r="R62" s="18" t="s">
        <v>272</v>
      </c>
      <c r="S62" s="18"/>
      <c r="T62" s="18"/>
      <c r="U62" s="18"/>
      <c r="V62" s="18"/>
      <c r="W62" s="18"/>
      <c r="X62" s="18"/>
      <c r="Y62" s="18"/>
      <c r="Z62" s="18"/>
      <c r="AA62" s="18"/>
      <c r="AB62" s="18"/>
      <c r="AC62" s="18"/>
      <c r="AD62" s="18"/>
      <c r="AE62" s="19"/>
      <c r="AF62" s="18"/>
      <c r="AG62" s="18">
        <v>49.3</v>
      </c>
      <c r="AH62" s="18">
        <v>46.3</v>
      </c>
    </row>
    <row r="63" spans="1:34" ht="60" x14ac:dyDescent="0.25">
      <c r="A63" s="18">
        <v>30.4</v>
      </c>
      <c r="B63" s="18" t="s">
        <v>257</v>
      </c>
      <c r="C63" s="18" t="s">
        <v>258</v>
      </c>
      <c r="D63" s="18"/>
      <c r="E63" s="19"/>
      <c r="F63" s="18"/>
      <c r="G63" s="18"/>
      <c r="H63" s="18"/>
      <c r="I63" s="18"/>
      <c r="J63" s="18"/>
      <c r="K63" s="18"/>
      <c r="L63" s="18"/>
      <c r="M63" s="18"/>
      <c r="N63" s="18"/>
      <c r="O63" s="18"/>
      <c r="P63" s="18"/>
      <c r="Q63" s="18" t="s">
        <v>70</v>
      </c>
      <c r="R63" s="18" t="s">
        <v>273</v>
      </c>
      <c r="S63" s="18">
        <v>2024</v>
      </c>
      <c r="T63" s="18"/>
      <c r="U63" s="18">
        <v>1</v>
      </c>
      <c r="V63" s="18">
        <v>1</v>
      </c>
      <c r="W63" s="18" t="s">
        <v>119</v>
      </c>
      <c r="X63" s="18" t="s">
        <v>274</v>
      </c>
      <c r="Y63" s="18" t="s">
        <v>275</v>
      </c>
      <c r="Z63" s="18">
        <v>2021</v>
      </c>
      <c r="AA63" s="18" t="s">
        <v>276</v>
      </c>
      <c r="AB63" s="18" t="s">
        <v>263</v>
      </c>
      <c r="AC63" s="18" t="s">
        <v>166</v>
      </c>
      <c r="AD63" s="18"/>
      <c r="AE63" s="19">
        <v>1000</v>
      </c>
      <c r="AF63" s="18"/>
      <c r="AG63" s="18">
        <v>32</v>
      </c>
      <c r="AH63" s="18">
        <v>47</v>
      </c>
    </row>
    <row r="64" spans="1:34" ht="60" x14ac:dyDescent="0.25">
      <c r="A64" s="18">
        <v>30.5</v>
      </c>
      <c r="B64" s="18" t="s">
        <v>257</v>
      </c>
      <c r="C64" s="18" t="s">
        <v>258</v>
      </c>
      <c r="D64" s="18"/>
      <c r="E64" s="19"/>
      <c r="F64" s="18"/>
      <c r="G64" s="18"/>
      <c r="H64" s="18"/>
      <c r="I64" s="18"/>
      <c r="J64" s="18"/>
      <c r="K64" s="18"/>
      <c r="L64" s="18"/>
      <c r="M64" s="18"/>
      <c r="N64" s="18"/>
      <c r="O64" s="18"/>
      <c r="P64" s="18"/>
      <c r="Q64" s="18" t="s">
        <v>191</v>
      </c>
      <c r="R64" s="18" t="s">
        <v>277</v>
      </c>
      <c r="S64" s="18">
        <v>2024</v>
      </c>
      <c r="T64" s="18"/>
      <c r="U64" s="18">
        <v>1</v>
      </c>
      <c r="V64" s="18"/>
      <c r="W64" s="18" t="s">
        <v>200</v>
      </c>
      <c r="X64" s="18" t="s">
        <v>278</v>
      </c>
      <c r="Y64" s="18" t="s">
        <v>279</v>
      </c>
      <c r="Z64" s="18">
        <v>2021</v>
      </c>
      <c r="AA64" s="18" t="s">
        <v>276</v>
      </c>
      <c r="AB64" s="18" t="s">
        <v>263</v>
      </c>
      <c r="AC64" s="18" t="s">
        <v>166</v>
      </c>
      <c r="AD64" s="18"/>
      <c r="AE64" s="19">
        <v>500</v>
      </c>
      <c r="AF64" s="18" t="s">
        <v>280</v>
      </c>
      <c r="AG64" s="18">
        <v>32.1</v>
      </c>
      <c r="AH64" s="18">
        <v>47.1</v>
      </c>
    </row>
    <row r="65" spans="1:34" ht="75" x14ac:dyDescent="0.25">
      <c r="A65" s="18">
        <v>30.6</v>
      </c>
      <c r="B65" s="18" t="s">
        <v>257</v>
      </c>
      <c r="C65" s="18" t="s">
        <v>258</v>
      </c>
      <c r="D65" s="18"/>
      <c r="E65" s="19"/>
      <c r="F65" s="18"/>
      <c r="G65" s="18"/>
      <c r="H65" s="18"/>
      <c r="I65" s="18"/>
      <c r="J65" s="18"/>
      <c r="K65" s="18"/>
      <c r="L65" s="18"/>
      <c r="M65" s="18"/>
      <c r="N65" s="18"/>
      <c r="O65" s="18"/>
      <c r="P65" s="18"/>
      <c r="Q65" s="18" t="s">
        <v>191</v>
      </c>
      <c r="R65" s="18" t="s">
        <v>281</v>
      </c>
      <c r="S65" s="18">
        <v>2024</v>
      </c>
      <c r="T65" s="18"/>
      <c r="U65" s="18">
        <v>1</v>
      </c>
      <c r="V65" s="18"/>
      <c r="W65" s="18" t="s">
        <v>200</v>
      </c>
      <c r="X65" s="18" t="s">
        <v>282</v>
      </c>
      <c r="Y65" s="18" t="s">
        <v>283</v>
      </c>
      <c r="Z65" s="18">
        <v>2022</v>
      </c>
      <c r="AA65" s="18" t="s">
        <v>164</v>
      </c>
      <c r="AB65" s="18" t="s">
        <v>263</v>
      </c>
      <c r="AC65" s="18" t="s">
        <v>166</v>
      </c>
      <c r="AD65" s="18"/>
      <c r="AE65" s="19">
        <v>4965</v>
      </c>
      <c r="AF65" s="18" t="s">
        <v>284</v>
      </c>
      <c r="AG65" s="18">
        <v>32.200000000000003</v>
      </c>
      <c r="AH65" s="18">
        <v>47.2</v>
      </c>
    </row>
    <row r="66" spans="1:34" ht="75.75" thickBot="1" x14ac:dyDescent="0.3">
      <c r="A66" s="18">
        <v>30.7</v>
      </c>
      <c r="B66" s="18" t="s">
        <v>257</v>
      </c>
      <c r="C66" s="18" t="s">
        <v>258</v>
      </c>
      <c r="D66" s="18"/>
      <c r="E66" s="19"/>
      <c r="F66" s="18"/>
      <c r="G66" s="18"/>
      <c r="H66" s="18"/>
      <c r="I66" s="18"/>
      <c r="J66" s="18"/>
      <c r="K66" s="18"/>
      <c r="L66" s="18"/>
      <c r="M66" s="18"/>
      <c r="N66" s="18"/>
      <c r="O66" s="18"/>
      <c r="P66" s="18"/>
      <c r="Q66" s="18" t="s">
        <v>191</v>
      </c>
      <c r="R66" s="18" t="s">
        <v>285</v>
      </c>
      <c r="S66" s="18">
        <v>2023</v>
      </c>
      <c r="T66" s="18"/>
      <c r="U66" s="18">
        <v>1</v>
      </c>
      <c r="V66" s="18"/>
      <c r="W66" s="18" t="s">
        <v>200</v>
      </c>
      <c r="X66" s="18" t="s">
        <v>278</v>
      </c>
      <c r="Y66" s="18" t="s">
        <v>286</v>
      </c>
      <c r="Z66" s="18">
        <v>2023</v>
      </c>
      <c r="AA66" s="18" t="s">
        <v>267</v>
      </c>
      <c r="AB66" s="18" t="s">
        <v>263</v>
      </c>
      <c r="AC66" s="18" t="s">
        <v>166</v>
      </c>
      <c r="AD66" s="18"/>
      <c r="AE66" s="19">
        <v>500</v>
      </c>
      <c r="AF66" s="18" t="s">
        <v>287</v>
      </c>
      <c r="AG66" s="18">
        <v>32.299999999999997</v>
      </c>
      <c r="AH66" s="18">
        <v>47.3</v>
      </c>
    </row>
    <row r="67" spans="1:34" ht="15.75" thickTop="1" x14ac:dyDescent="0.25">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row>
  </sheetData>
  <conditionalFormatting sqref="R1:R6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project_data</vt:lpstr>
      <vt:lpstr>product_data</vt:lpstr>
      <vt:lpstr>award_data</vt:lpstr>
      <vt:lpstr>sample_data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Fallaw, Alex</dc:creator>
  <cp:lastModifiedBy>Fallaw, Alex</cp:lastModifiedBy>
  <dcterms:created xsi:type="dcterms:W3CDTF">2026-02-02T18:02:51Z</dcterms:created>
  <dcterms:modified xsi:type="dcterms:W3CDTF">2026-02-02T18:18:49Z</dcterms:modified>
</cp:coreProperties>
</file>