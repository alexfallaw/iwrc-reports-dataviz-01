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leza\Documents\IWRC\"/>
    </mc:Choice>
  </mc:AlternateContent>
  <xr:revisionPtr revIDLastSave="0" documentId="13_ncr:1_{61541386-3B87-4091-9BB1-1C5A2A7BE34B}" xr6:coauthVersionLast="47" xr6:coauthVersionMax="47" xr10:uidLastSave="{00000000-0000-0000-0000-000000000000}"/>
  <bookViews>
    <workbookView xWindow="-120" yWindow="-120" windowWidth="29040" windowHeight="15720" xr2:uid="{38E2AC96-5AF4-4BA7-B92B-D92858B86B1B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43" i="1" l="1"/>
  <c r="L42" i="1"/>
  <c r="L41" i="1"/>
  <c r="L40" i="1"/>
  <c r="L39" i="1"/>
  <c r="L38" i="1"/>
  <c r="L37" i="1"/>
  <c r="L36" i="1"/>
  <c r="L35" i="1"/>
  <c r="L34" i="1"/>
  <c r="L33" i="1"/>
  <c r="L32" i="1"/>
  <c r="L31" i="1"/>
  <c r="L30" i="1"/>
  <c r="L29" i="1"/>
  <c r="L28" i="1"/>
  <c r="L27" i="1"/>
  <c r="L26" i="1"/>
  <c r="L25" i="1"/>
  <c r="L24" i="1"/>
  <c r="L23" i="1"/>
  <c r="L22" i="1"/>
  <c r="L21" i="1"/>
  <c r="L20" i="1"/>
  <c r="L19" i="1"/>
  <c r="L18" i="1"/>
  <c r="L17" i="1"/>
  <c r="L16" i="1"/>
  <c r="L15" i="1"/>
  <c r="L14" i="1"/>
  <c r="L13" i="1"/>
  <c r="L12" i="1"/>
  <c r="L11" i="1"/>
  <c r="L10" i="1"/>
  <c r="L9" i="1"/>
  <c r="L8" i="1"/>
  <c r="L7" i="1"/>
  <c r="L6" i="1"/>
  <c r="L5" i="1"/>
  <c r="L4" i="1"/>
  <c r="L3" i="1"/>
  <c r="L2" i="1"/>
</calcChain>
</file>

<file path=xl/sharedStrings.xml><?xml version="1.0" encoding="utf-8"?>
<sst xmlns="http://schemas.openxmlformats.org/spreadsheetml/2006/main" count="386" uniqueCount="172">
  <si>
    <t>Report Year</t>
  </si>
  <si>
    <t>Project ID</t>
  </si>
  <si>
    <t>Project Title</t>
  </si>
  <si>
    <t>Funding Type</t>
  </si>
  <si>
    <t>Funding Amount</t>
  </si>
  <si>
    <t>WRRI Science Priority</t>
  </si>
  <si>
    <t>Focus Category 1</t>
  </si>
  <si>
    <t>Focus Category 2</t>
  </si>
  <si>
    <t>Focus Category 3</t>
  </si>
  <si>
    <t>Project PIs</t>
  </si>
  <si>
    <t>PI Affiliated Organization</t>
  </si>
  <si>
    <t>Total Students Supported with Funding</t>
  </si>
  <si>
    <t>Undegraduates Supported by WRRA $</t>
  </si>
  <si>
    <t>Masters Students Supported by WRRA $</t>
  </si>
  <si>
    <t>PhD Students Supported by WRRA $</t>
  </si>
  <si>
    <t>Postdocs Supported by WRRA $</t>
  </si>
  <si>
    <t>Students Supported by Non-Federal (Matching) Funds</t>
  </si>
  <si>
    <t>Sorted ID</t>
  </si>
  <si>
    <t>Unsorted ID</t>
  </si>
  <si>
    <t>IL-2022_Sankaran</t>
  </si>
  <si>
    <t>A hybrid plasma-electrocatalyst activated process for the synthesis of ammonia from air and water</t>
  </si>
  <si>
    <t>Base Grant (104b)</t>
  </si>
  <si>
    <t>Water Technology and innovation</t>
  </si>
  <si>
    <t>agriculture</t>
  </si>
  <si>
    <t>atmospheric deposition</t>
  </si>
  <si>
    <t>conservation</t>
  </si>
  <si>
    <t>Dr. R. Mohan Sankaran</t>
  </si>
  <si>
    <t>University of Illinois at Urbana-Champaign</t>
  </si>
  <si>
    <t>IL-2022_Lampert_B</t>
  </si>
  <si>
    <t>Analyzing nutrient sources in the production of harmful algal blooms in Long Lake and reducing energy use for wastewater nutrient removal using machine learning</t>
  </si>
  <si>
    <t>Water Quality</t>
  </si>
  <si>
    <t>surface water</t>
  </si>
  <si>
    <t>wastewater</t>
  </si>
  <si>
    <t>phosphorus</t>
  </si>
  <si>
    <t>Dr. David Lampert</t>
  </si>
  <si>
    <t>Illinois Institute of Technology</t>
  </si>
  <si>
    <t>IL_2021_Stillwell</t>
  </si>
  <si>
    <t>Assessing the Feasibility of Non-Potable Water Reuse in Illinois</t>
  </si>
  <si>
    <t>Water Scarcity and Availability</t>
  </si>
  <si>
    <t>WATER SUPPLY</t>
  </si>
  <si>
    <t>LAW, INSTITUTIONS, AND POLICY</t>
  </si>
  <si>
    <t>MANAGEMENT AND PLANNING</t>
  </si>
  <si>
    <t>Ashlynn Stillwell</t>
  </si>
  <si>
    <t>IL_2023_Li</t>
  </si>
  <si>
    <t>Assessing the Vulnerability of Public Water Systems to Droughts with an Integrated Remote Sensing and Social Sensing Approach</t>
  </si>
  <si>
    <t>water supply</t>
  </si>
  <si>
    <t>hydrology</t>
  </si>
  <si>
    <t>Ruopu Li</t>
  </si>
  <si>
    <t>Southern Illinois University at Carbondale</t>
  </si>
  <si>
    <t>drought</t>
  </si>
  <si>
    <t>Southern Illinois University</t>
  </si>
  <si>
    <t>IL-2022_Corush</t>
  </si>
  <si>
    <t>Causes and consequences of mollusk invasions throughout the Illinois River watershed</t>
  </si>
  <si>
    <t>104g - AIS</t>
  </si>
  <si>
    <t>Watershed and Ecosystem Function</t>
  </si>
  <si>
    <t>aquatic invasive species</t>
  </si>
  <si>
    <t>ecology</t>
  </si>
  <si>
    <t>Dr. Joel Corush</t>
  </si>
  <si>
    <t>Joel Corush</t>
  </si>
  <si>
    <t>IL_2022_Corush</t>
  </si>
  <si>
    <t>Causes and Consequences of Mollusk Invasions Throughout the Illinois River Watershed</t>
  </si>
  <si>
    <t>Watershed Function</t>
  </si>
  <si>
    <t>University of Illinois Urbana-Champaign</t>
  </si>
  <si>
    <t>IL_2021_Lampert</t>
  </si>
  <si>
    <t>Containment of Per- and Polyfluoroalkyl Substances to Protect Surface Water</t>
  </si>
  <si>
    <t>TOXIC SUBSTANCES</t>
  </si>
  <si>
    <t>SOLUTE TRANSPORT</t>
  </si>
  <si>
    <t>GROUNDWATER</t>
  </si>
  <si>
    <t>David Lampert</t>
  </si>
  <si>
    <t>IL_2024_Park</t>
  </si>
  <si>
    <t>Conversion of Per- and Polyfluoroalkyl Substances (PFAS) to Valuable Chemicals via Electrochemical Destruction Process</t>
  </si>
  <si>
    <t>Water-Related Hazards</t>
  </si>
  <si>
    <t>PFAs</t>
  </si>
  <si>
    <t>methods</t>
  </si>
  <si>
    <t>Jung Hyun Park</t>
  </si>
  <si>
    <t>Illinois Sustainable Technology Center</t>
  </si>
  <si>
    <t>IL_2023_Su</t>
  </si>
  <si>
    <t>Development of Next-Generation Electrochemical Systems for Short-Chain PFAS Removal and Remediation</t>
  </si>
  <si>
    <t>Water Technology and Innovation</t>
  </si>
  <si>
    <t>treatment</t>
  </si>
  <si>
    <t>toxic substances</t>
  </si>
  <si>
    <t>Xiao Su</t>
  </si>
  <si>
    <t>Development of next-generation electrochemical systems for short-chain PFAS removal and remediation.</t>
  </si>
  <si>
    <t>IL-2022_Lin_CF</t>
  </si>
  <si>
    <t>Development of testing of a subsurface energy transport package for MODFLOW</t>
  </si>
  <si>
    <t>Coordination Grant</t>
  </si>
  <si>
    <t>models</t>
  </si>
  <si>
    <t>groundwater</t>
  </si>
  <si>
    <t>Dr. Yu-Feng Lin</t>
  </si>
  <si>
    <t>Development of Testing of a Subsurface Energy Transport Package for MODFLOW</t>
  </si>
  <si>
    <t>Yu-Feng Lin</t>
  </si>
  <si>
    <t>IL_2021_Kim</t>
  </si>
  <si>
    <t>Efficacious, recyclable, and low-cost inorganic adsorbent to remove harmful PFAs compounds in aqueous matrics</t>
  </si>
  <si>
    <t>TREATMENT</t>
  </si>
  <si>
    <t>WATER QUALITY</t>
  </si>
  <si>
    <t>Jaemin Kim</t>
  </si>
  <si>
    <t>IL-2021_Tinoco</t>
  </si>
  <si>
    <t>Enemy of my enemy? Ecohydraulic assessment of interactions of multiple invasive species in the Upper Mississippi River Basin</t>
  </si>
  <si>
    <t>Dr. Rafael Tinoco</t>
  </si>
  <si>
    <t>Enemy of My Enemy?: Ecohydraulic Assessment of Interactions of Multiple Invasive Species in the Upper Mississippi River Basin</t>
  </si>
  <si>
    <t>Rafael Omar Tinoco Lopez</t>
  </si>
  <si>
    <t>IL_2021_Tinoco</t>
  </si>
  <si>
    <t>Tinoco Lopez, Rafael Omar</t>
  </si>
  <si>
    <t>IL_2024_Li</t>
  </si>
  <si>
    <t>Enhancing Field-scale Drainage Mapping Through Geospatial Artificial Intelligence</t>
  </si>
  <si>
    <t>IL-2022_Rhoads</t>
  </si>
  <si>
    <t>Evaluating Sources of Fine Sediment to Headwater Streams in Intensively Managed Agricultural Landscapes of Illinois</t>
  </si>
  <si>
    <t>sediments</t>
  </si>
  <si>
    <t>geochemical processes</t>
  </si>
  <si>
    <t>Dr. Bruce Rhoads</t>
  </si>
  <si>
    <t>IL_2023_Prada</t>
  </si>
  <si>
    <t>Fast and Energy-Efficient Destruction of PFAS compounds with Piezoelectric Formulations on Aqueous Sorbents (FEED-PFAS)</t>
  </si>
  <si>
    <t>Andres Prada</t>
  </si>
  <si>
    <t>Fast and Energy-Efficient Destruction of PFAS Compounds with Piezoelectric Formulations on Aqueous Sorbents (FEED-PFAS)</t>
  </si>
  <si>
    <t>IL_2021_Rhoads</t>
  </si>
  <si>
    <t>Floodplain morphology, floodplain inundation, and riparian ecology in the context of the changing hydrology of rivers in Illinois</t>
  </si>
  <si>
    <t>Water-Related Hazards and Climate Variability</t>
  </si>
  <si>
    <t>GEOMORPOLOGICAL PROCESSES</t>
  </si>
  <si>
    <t>FLOODS</t>
  </si>
  <si>
    <t>HYDROLOGY</t>
  </si>
  <si>
    <t>Bruce Rhoads</t>
  </si>
  <si>
    <t>IL-2022_Parkos</t>
  </si>
  <si>
    <t>Habitat selection of juvenile black carp and associated predatory effects on native and non-native bivalves</t>
  </si>
  <si>
    <t>Dr. Joseph J. Parkos III</t>
  </si>
  <si>
    <t>Joseph J. Parkos III</t>
  </si>
  <si>
    <t>IL_2022_Parkos</t>
  </si>
  <si>
    <t>Habitat Selection of Juvenile Black Carp and Associated Predatory Effects on Native and Non-native Bivalves</t>
  </si>
  <si>
    <t>IL_2023_Taylor</t>
  </si>
  <si>
    <t>Land use impacts on environmental quality and aquatic biodiversity in the Vermillion River drainage, Illinois</t>
  </si>
  <si>
    <t>Caitlin Bloomer (previously Christopher Taylor)</t>
  </si>
  <si>
    <t>Land Use Impacts on Environmental Quality and Aquatic Biodiversity in the Vermillion River Drainage, Illinois</t>
  </si>
  <si>
    <t>Caitlin Bloomer</t>
  </si>
  <si>
    <t>IL-2022_Cáceres</t>
  </si>
  <si>
    <t>Measuring the effect of flood pulses on ecosystem function in lakes created by mining (Kickapoo State Recreation Area)</t>
  </si>
  <si>
    <t>nonpoint pollution</t>
  </si>
  <si>
    <t>Dr. Carla Cáceres</t>
  </si>
  <si>
    <t>IL-2022_Lampert_G</t>
  </si>
  <si>
    <t>PFAS transport from contaminated areas to surface waters</t>
  </si>
  <si>
    <t>104g - PFAS</t>
  </si>
  <si>
    <t>solute transport</t>
  </si>
  <si>
    <t>IL_2022_Lampert_G</t>
  </si>
  <si>
    <t>PFAS Transport from Contaminated Areas to Surface Waters</t>
  </si>
  <si>
    <t>IL-2022_Tartakovsky</t>
  </si>
  <si>
    <t>Physics-informed machine learning for parameter estimation and surrogate modeling</t>
  </si>
  <si>
    <t>Dr. Alexandre Tartakovsky</t>
  </si>
  <si>
    <t>Alexandre M Tartakovsky</t>
  </si>
  <si>
    <t>IL_2022_Tartakovsky</t>
  </si>
  <si>
    <t>Physics-Informed Machine Learning for Parameter Estimation and Surrogate Modeling</t>
  </si>
  <si>
    <t>Alex Tartakovsky</t>
  </si>
  <si>
    <t>IL_2024_Stillwell</t>
  </si>
  <si>
    <t>Quantifying Virtual Water Transfers from Hydropower Generation under Climate Variability</t>
  </si>
  <si>
    <t>Water Policy, Planning, and Socioeconomics</t>
  </si>
  <si>
    <t>management and planning</t>
  </si>
  <si>
    <t>IL_2021_Meyer</t>
  </si>
  <si>
    <t>Regenerative Agriculture and the Human Health Nexus in the age of Climate Change</t>
  </si>
  <si>
    <t>AGRICULTURE</t>
  </si>
  <si>
    <t>EDUCATION</t>
  </si>
  <si>
    <t>METHODS</t>
  </si>
  <si>
    <t>Erin Meyer</t>
  </si>
  <si>
    <t>IL_2021_Wang</t>
  </si>
  <si>
    <t>Triboelectric devices for water motion energy harvesting and self-powered sensing</t>
  </si>
  <si>
    <t>Yi-Cheng Wang</t>
  </si>
  <si>
    <t>IL_2024_Sloan</t>
  </si>
  <si>
    <t>Using Continuous Water Quality Monitoring Combined with Stratified Sampling to Assess the Presence of Emerging Contaminants in the Upper Illinois River</t>
  </si>
  <si>
    <t>wetlands</t>
  </si>
  <si>
    <t>John J Sloan</t>
  </si>
  <si>
    <t>National Great Rivers Research &amp; Education Center</t>
  </si>
  <si>
    <t>2020IL103AIS</t>
  </si>
  <si>
    <t>Water quality as a deterrent to the movement of invasive fishes in the Illinois Waterway: Implications for the Upper Mississippi Basin</t>
  </si>
  <si>
    <t>Dr. Cory Suski</t>
  </si>
  <si>
    <t>Water Quality as a Deterrent to the Movement of Invasive Fishes in the Illinois Waterway: Implications for the Upper Mississippi Basin</t>
  </si>
  <si>
    <t>Cory Suski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</si>
</sst>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$&quot;#,##0"/>
  </numFmts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ck">
        <color indexed="64"/>
      </top>
      <bottom/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0" borderId="1" xfId="0" applyFont="1" applyBorder="1" applyAlignment="1">
      <alignment horizontal="center" vertical="center" wrapText="1"/>
    </xf>
    <xf numFmtId="164" fontId="1" fillId="0" borderId="1" xfId="0" applyNumberFormat="1" applyFont="1" applyBorder="1" applyAlignment="1">
      <alignment horizontal="center" vertical="center" wrapText="1"/>
    </xf>
    <xf numFmtId="0" fontId="0" fillId="2" borderId="2" xfId="0" applyFill="1" applyBorder="1" applyAlignment="1">
      <alignment horizontal="left" vertical="top" wrapText="1"/>
    </xf>
    <xf numFmtId="164" fontId="0" fillId="2" borderId="2" xfId="0" applyNumberFormat="1" applyFill="1" applyBorder="1" applyAlignment="1">
      <alignment horizontal="left" vertical="top" wrapText="1"/>
    </xf>
    <xf numFmtId="0" fontId="0" fillId="3" borderId="2" xfId="0" applyFill="1" applyBorder="1" applyAlignment="1">
      <alignment horizontal="left" vertical="top" wrapText="1"/>
    </xf>
    <xf numFmtId="164" fontId="0" fillId="3" borderId="2" xfId="0" applyNumberFormat="1" applyFill="1" applyBorder="1" applyAlignment="1">
      <alignment horizontal="left" vertical="top" wrapText="1"/>
    </xf>
    <xf numFmtId="0" fontId="0" fillId="4" borderId="2" xfId="0" applyFill="1" applyBorder="1" applyAlignment="1">
      <alignment horizontal="left" vertical="top" wrapText="1"/>
    </xf>
    <xf numFmtId="164" fontId="0" fillId="4" borderId="2" xfId="0" applyNumberFormat="1" applyFill="1" applyBorder="1" applyAlignment="1">
      <alignment horizontal="left" vertical="top" wrapText="1"/>
    </xf>
    <xf numFmtId="0" fontId="0" fillId="5" borderId="2" xfId="0" applyFill="1" applyBorder="1" applyAlignment="1">
      <alignment horizontal="left" vertical="top" wrapText="1"/>
    </xf>
    <xf numFmtId="164" fontId="0" fillId="5" borderId="2" xfId="0" applyNumberFormat="1" applyFill="1" applyBorder="1" applyAlignment="1">
      <alignment horizontal="left" vertical="top" wrapText="1"/>
    </xf>
    <xf numFmtId="0" fontId="0" fillId="6" borderId="2" xfId="0" applyFill="1" applyBorder="1" applyAlignment="1">
      <alignment horizontal="left" vertical="top" wrapText="1"/>
    </xf>
    <xf numFmtId="164" fontId="0" fillId="6" borderId="2" xfId="0" applyNumberFormat="1" applyFill="1" applyBorder="1" applyAlignment="1">
      <alignment horizontal="left" vertical="top" wrapText="1"/>
    </xf>
    <xf numFmtId="0" fontId="0" fillId="7" borderId="2" xfId="0" applyFill="1" applyBorder="1" applyAlignment="1">
      <alignment horizontal="left" vertical="top" wrapText="1"/>
    </xf>
    <xf numFmtId="164" fontId="0" fillId="7" borderId="2" xfId="0" applyNumberFormat="1" applyFill="1" applyBorder="1" applyAlignment="1">
      <alignment horizontal="left"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C916F1-1C3E-4382-935B-456934F86C22}">
  <dimension ref="A1:S43"/>
  <sheetViews>
    <sheetView tabSelected="1" workbookViewId="0">
      <selection activeCell="H8" sqref="H8"/>
    </sheetView>
  </sheetViews>
  <sheetFormatPr defaultRowHeight="15" x14ac:dyDescent="0.25"/>
  <cols>
    <col min="1" max="1" width="10.28515625" customWidth="1"/>
    <col min="2" max="2" width="21.42578125" customWidth="1"/>
    <col min="3" max="3" width="36.7109375" customWidth="1"/>
    <col min="4" max="4" width="19.140625" customWidth="1"/>
    <col min="5" max="5" width="14.7109375" customWidth="1"/>
    <col min="6" max="6" width="17" customWidth="1"/>
    <col min="7" max="9" width="19.42578125" customWidth="1"/>
    <col min="10" max="10" width="18.42578125" customWidth="1"/>
    <col min="11" max="11" width="26" customWidth="1"/>
    <col min="12" max="12" width="14" customWidth="1"/>
    <col min="13" max="17" width="15.42578125" customWidth="1"/>
    <col min="19" max="19" width="9.7109375" customWidth="1"/>
  </cols>
  <sheetData>
    <row r="1" spans="1:19" ht="75.75" thickBot="1" x14ac:dyDescent="0.3">
      <c r="A1" s="1" t="s">
        <v>0</v>
      </c>
      <c r="B1" s="1" t="s">
        <v>1</v>
      </c>
      <c r="C1" s="1" t="s">
        <v>2</v>
      </c>
      <c r="D1" s="1" t="s">
        <v>3</v>
      </c>
      <c r="E1" s="2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</row>
    <row r="2" spans="1:19" ht="46.5" thickTop="1" thickBot="1" x14ac:dyDescent="0.3">
      <c r="A2" s="3">
        <v>2022</v>
      </c>
      <c r="B2" s="3" t="s">
        <v>19</v>
      </c>
      <c r="C2" s="3" t="s">
        <v>20</v>
      </c>
      <c r="D2" s="3" t="s">
        <v>21</v>
      </c>
      <c r="E2" s="4">
        <v>10000</v>
      </c>
      <c r="F2" s="3" t="s">
        <v>22</v>
      </c>
      <c r="G2" s="3" t="s">
        <v>23</v>
      </c>
      <c r="H2" s="3" t="s">
        <v>24</v>
      </c>
      <c r="I2" s="3" t="s">
        <v>25</v>
      </c>
      <c r="J2" s="3" t="s">
        <v>26</v>
      </c>
      <c r="K2" s="3" t="s">
        <v>27</v>
      </c>
      <c r="L2" s="3">
        <f>SUM(M2:Q2)</f>
        <v>4</v>
      </c>
      <c r="M2" s="3">
        <v>1</v>
      </c>
      <c r="N2" s="3">
        <v>0</v>
      </c>
      <c r="O2" s="3">
        <v>1</v>
      </c>
      <c r="P2" s="3">
        <v>0</v>
      </c>
      <c r="Q2" s="3">
        <v>2</v>
      </c>
      <c r="R2" s="3">
        <v>1</v>
      </c>
      <c r="S2" s="3">
        <v>9</v>
      </c>
    </row>
    <row r="3" spans="1:19" ht="76.5" thickTop="1" thickBot="1" x14ac:dyDescent="0.3">
      <c r="A3" s="5">
        <v>2022</v>
      </c>
      <c r="B3" s="5" t="s">
        <v>28</v>
      </c>
      <c r="C3" s="5" t="s">
        <v>29</v>
      </c>
      <c r="D3" s="5" t="s">
        <v>21</v>
      </c>
      <c r="E3" s="6">
        <v>20000</v>
      </c>
      <c r="F3" s="5" t="s">
        <v>30</v>
      </c>
      <c r="G3" s="5" t="s">
        <v>31</v>
      </c>
      <c r="H3" s="5" t="s">
        <v>32</v>
      </c>
      <c r="I3" s="5" t="s">
        <v>33</v>
      </c>
      <c r="J3" s="5" t="s">
        <v>34</v>
      </c>
      <c r="K3" s="5" t="s">
        <v>35</v>
      </c>
      <c r="L3" s="5">
        <f>SUM(M3:Q3)</f>
        <v>3</v>
      </c>
      <c r="M3" s="5">
        <v>1</v>
      </c>
      <c r="N3" s="5">
        <v>0</v>
      </c>
      <c r="O3" s="5">
        <v>2</v>
      </c>
      <c r="P3" s="5">
        <v>0</v>
      </c>
      <c r="Q3" s="5">
        <v>0</v>
      </c>
      <c r="R3" s="5">
        <v>2</v>
      </c>
      <c r="S3" s="5">
        <v>7</v>
      </c>
    </row>
    <row r="4" spans="1:19" ht="31.5" thickTop="1" thickBot="1" x14ac:dyDescent="0.3">
      <c r="A4" s="7">
        <v>2021</v>
      </c>
      <c r="B4" s="7" t="s">
        <v>36</v>
      </c>
      <c r="C4" s="7" t="s">
        <v>37</v>
      </c>
      <c r="D4" s="7" t="s">
        <v>21</v>
      </c>
      <c r="E4" s="8">
        <v>10000</v>
      </c>
      <c r="F4" s="7" t="s">
        <v>38</v>
      </c>
      <c r="G4" s="7" t="s">
        <v>39</v>
      </c>
      <c r="H4" s="7" t="s">
        <v>40</v>
      </c>
      <c r="I4" s="7" t="s">
        <v>41</v>
      </c>
      <c r="J4" s="7" t="s">
        <v>42</v>
      </c>
      <c r="K4" s="7"/>
      <c r="L4" s="7">
        <f>SUM(M4:Q4)</f>
        <v>2</v>
      </c>
      <c r="M4" s="7">
        <v>1</v>
      </c>
      <c r="N4" s="7">
        <v>1</v>
      </c>
      <c r="O4" s="7">
        <v>0</v>
      </c>
      <c r="P4" s="7">
        <v>0</v>
      </c>
      <c r="Q4" s="7">
        <v>0</v>
      </c>
      <c r="R4" s="7">
        <v>3</v>
      </c>
      <c r="S4" s="7">
        <v>1</v>
      </c>
    </row>
    <row r="5" spans="1:19" ht="61.5" thickTop="1" thickBot="1" x14ac:dyDescent="0.3">
      <c r="A5" s="9">
        <v>2023</v>
      </c>
      <c r="B5" s="9" t="s">
        <v>43</v>
      </c>
      <c r="C5" s="9" t="s">
        <v>44</v>
      </c>
      <c r="D5" s="9" t="s">
        <v>21</v>
      </c>
      <c r="E5" s="10">
        <v>15000</v>
      </c>
      <c r="F5" s="9" t="s">
        <v>38</v>
      </c>
      <c r="G5" s="9" t="s">
        <v>45</v>
      </c>
      <c r="H5" s="9" t="s">
        <v>46</v>
      </c>
      <c r="I5" s="9" t="s">
        <v>31</v>
      </c>
      <c r="J5" s="9" t="s">
        <v>47</v>
      </c>
      <c r="K5" s="9" t="s">
        <v>48</v>
      </c>
      <c r="L5" s="9">
        <f>SUM(M5:Q5)</f>
        <v>2</v>
      </c>
      <c r="M5" s="9">
        <v>0</v>
      </c>
      <c r="N5" s="9">
        <v>1</v>
      </c>
      <c r="O5" s="9">
        <v>0</v>
      </c>
      <c r="P5" s="9">
        <v>0</v>
      </c>
      <c r="Q5" s="9">
        <v>1</v>
      </c>
      <c r="R5" s="9">
        <v>4</v>
      </c>
      <c r="S5" s="9">
        <v>22</v>
      </c>
    </row>
    <row r="6" spans="1:19" ht="61.5" thickTop="1" thickBot="1" x14ac:dyDescent="0.3">
      <c r="A6" s="9">
        <v>2024</v>
      </c>
      <c r="B6" s="9" t="s">
        <v>43</v>
      </c>
      <c r="C6" s="9" t="s">
        <v>44</v>
      </c>
      <c r="D6" s="9" t="s">
        <v>21</v>
      </c>
      <c r="E6" s="10">
        <v>15000</v>
      </c>
      <c r="F6" s="9" t="s">
        <v>38</v>
      </c>
      <c r="G6" s="9" t="s">
        <v>45</v>
      </c>
      <c r="H6" s="9" t="s">
        <v>49</v>
      </c>
      <c r="I6" s="9" t="s">
        <v>46</v>
      </c>
      <c r="J6" s="9" t="s">
        <v>47</v>
      </c>
      <c r="K6" s="9" t="s">
        <v>50</v>
      </c>
      <c r="L6" s="9">
        <f>SUM(M6:Q6)</f>
        <v>2</v>
      </c>
      <c r="M6" s="9">
        <v>0</v>
      </c>
      <c r="N6" s="9">
        <v>1</v>
      </c>
      <c r="O6" s="9">
        <v>0</v>
      </c>
      <c r="P6" s="9">
        <v>0</v>
      </c>
      <c r="Q6" s="9">
        <v>1</v>
      </c>
      <c r="R6" s="9">
        <v>5</v>
      </c>
      <c r="S6" s="9">
        <v>35</v>
      </c>
    </row>
    <row r="7" spans="1:19" ht="46.5" thickTop="1" thickBot="1" x14ac:dyDescent="0.3">
      <c r="A7" s="11">
        <v>2022</v>
      </c>
      <c r="B7" s="11" t="s">
        <v>51</v>
      </c>
      <c r="C7" s="11" t="s">
        <v>52</v>
      </c>
      <c r="D7" s="11" t="s">
        <v>53</v>
      </c>
      <c r="E7" s="12">
        <v>300000</v>
      </c>
      <c r="F7" s="11" t="s">
        <v>54</v>
      </c>
      <c r="G7" s="11" t="s">
        <v>55</v>
      </c>
      <c r="H7" s="11" t="s">
        <v>25</v>
      </c>
      <c r="I7" s="11" t="s">
        <v>56</v>
      </c>
      <c r="J7" s="11" t="s">
        <v>57</v>
      </c>
      <c r="K7" s="11" t="s">
        <v>27</v>
      </c>
      <c r="L7" s="11">
        <f>SUM(M7:Q7)</f>
        <v>6</v>
      </c>
      <c r="M7" s="11">
        <v>0</v>
      </c>
      <c r="N7" s="11">
        <v>0</v>
      </c>
      <c r="O7" s="11">
        <v>1</v>
      </c>
      <c r="P7" s="11">
        <v>1</v>
      </c>
      <c r="Q7" s="11">
        <v>4</v>
      </c>
      <c r="R7" s="11">
        <v>6</v>
      </c>
      <c r="S7" s="11">
        <v>15</v>
      </c>
    </row>
    <row r="8" spans="1:19" ht="46.5" thickTop="1" thickBot="1" x14ac:dyDescent="0.3">
      <c r="A8" s="11">
        <v>2023</v>
      </c>
      <c r="B8" s="11" t="s">
        <v>51</v>
      </c>
      <c r="C8" s="11" t="s">
        <v>52</v>
      </c>
      <c r="D8" s="11" t="s">
        <v>53</v>
      </c>
      <c r="E8" s="12">
        <v>300000</v>
      </c>
      <c r="F8" s="11" t="s">
        <v>54</v>
      </c>
      <c r="G8" s="11" t="s">
        <v>55</v>
      </c>
      <c r="H8" s="11" t="s">
        <v>56</v>
      </c>
      <c r="I8" s="11" t="s">
        <v>25</v>
      </c>
      <c r="J8" s="11" t="s">
        <v>58</v>
      </c>
      <c r="K8" s="11" t="s">
        <v>27</v>
      </c>
      <c r="L8" s="11">
        <f>SUM(M8:Q8)</f>
        <v>10</v>
      </c>
      <c r="M8" s="11">
        <v>7</v>
      </c>
      <c r="N8" s="11">
        <v>0</v>
      </c>
      <c r="O8" s="11">
        <v>1</v>
      </c>
      <c r="P8" s="11">
        <v>1</v>
      </c>
      <c r="Q8" s="11">
        <v>1</v>
      </c>
      <c r="R8" s="11">
        <v>7</v>
      </c>
      <c r="S8" s="11">
        <v>27</v>
      </c>
    </row>
    <row r="9" spans="1:19" ht="46.5" thickTop="1" thickBot="1" x14ac:dyDescent="0.3">
      <c r="A9" s="11">
        <v>2024</v>
      </c>
      <c r="B9" s="11" t="s">
        <v>59</v>
      </c>
      <c r="C9" s="11" t="s">
        <v>60</v>
      </c>
      <c r="D9" s="11" t="s">
        <v>53</v>
      </c>
      <c r="E9" s="12">
        <v>300000</v>
      </c>
      <c r="F9" s="11" t="s">
        <v>61</v>
      </c>
      <c r="G9" s="11" t="s">
        <v>55</v>
      </c>
      <c r="H9" s="11" t="s">
        <v>56</v>
      </c>
      <c r="I9" s="11" t="s">
        <v>25</v>
      </c>
      <c r="J9" s="11" t="s">
        <v>58</v>
      </c>
      <c r="K9" s="11" t="s">
        <v>62</v>
      </c>
      <c r="L9" s="11">
        <f>SUM(M9:Q9)</f>
        <v>2</v>
      </c>
      <c r="M9" s="11">
        <v>0</v>
      </c>
      <c r="N9" s="11">
        <v>0</v>
      </c>
      <c r="O9" s="11">
        <v>1</v>
      </c>
      <c r="P9" s="11">
        <v>1</v>
      </c>
      <c r="Q9" s="11">
        <v>0</v>
      </c>
      <c r="R9" s="11">
        <v>8</v>
      </c>
      <c r="S9" s="11">
        <v>43</v>
      </c>
    </row>
    <row r="10" spans="1:19" ht="31.5" thickTop="1" thickBot="1" x14ac:dyDescent="0.3">
      <c r="A10" s="13">
        <v>2021</v>
      </c>
      <c r="B10" s="13" t="s">
        <v>63</v>
      </c>
      <c r="C10" s="13" t="s">
        <v>64</v>
      </c>
      <c r="D10" s="13" t="s">
        <v>21</v>
      </c>
      <c r="E10" s="14">
        <v>10000</v>
      </c>
      <c r="F10" s="13" t="s">
        <v>30</v>
      </c>
      <c r="G10" s="13" t="s">
        <v>65</v>
      </c>
      <c r="H10" s="13" t="s">
        <v>66</v>
      </c>
      <c r="I10" s="13" t="s">
        <v>67</v>
      </c>
      <c r="J10" s="13" t="s">
        <v>68</v>
      </c>
      <c r="K10" s="13"/>
      <c r="L10" s="13">
        <f>SUM(M10:Q10)</f>
        <v>2</v>
      </c>
      <c r="M10" s="13">
        <v>0</v>
      </c>
      <c r="N10" s="13">
        <v>1</v>
      </c>
      <c r="O10" s="13">
        <v>1</v>
      </c>
      <c r="P10" s="13">
        <v>0</v>
      </c>
      <c r="Q10" s="13">
        <v>0</v>
      </c>
      <c r="R10" s="13">
        <v>9</v>
      </c>
      <c r="S10" s="13">
        <v>5</v>
      </c>
    </row>
    <row r="11" spans="1:19" ht="61.5" thickTop="1" thickBot="1" x14ac:dyDescent="0.3">
      <c r="A11" s="3">
        <v>2024</v>
      </c>
      <c r="B11" s="3" t="s">
        <v>69</v>
      </c>
      <c r="C11" s="3" t="s">
        <v>70</v>
      </c>
      <c r="D11" s="3" t="s">
        <v>21</v>
      </c>
      <c r="E11" s="4">
        <v>15000</v>
      </c>
      <c r="F11" s="3" t="s">
        <v>71</v>
      </c>
      <c r="G11" s="3" t="s">
        <v>72</v>
      </c>
      <c r="H11" s="3" t="s">
        <v>31</v>
      </c>
      <c r="I11" s="3" t="s">
        <v>73</v>
      </c>
      <c r="J11" s="3" t="s">
        <v>74</v>
      </c>
      <c r="K11" s="3" t="s">
        <v>75</v>
      </c>
      <c r="L11" s="3">
        <f>SUM(M11:Q11)</f>
        <v>2</v>
      </c>
      <c r="M11" s="3">
        <v>1</v>
      </c>
      <c r="N11" s="3">
        <v>1</v>
      </c>
      <c r="O11" s="3">
        <v>0</v>
      </c>
      <c r="P11" s="3">
        <v>0</v>
      </c>
      <c r="Q11" s="3">
        <v>0</v>
      </c>
      <c r="R11" s="3">
        <v>10</v>
      </c>
      <c r="S11" s="3">
        <v>37</v>
      </c>
    </row>
    <row r="12" spans="1:19" ht="46.5" thickTop="1" thickBot="1" x14ac:dyDescent="0.3">
      <c r="A12" s="5">
        <v>2024</v>
      </c>
      <c r="B12" s="5" t="s">
        <v>76</v>
      </c>
      <c r="C12" s="5" t="s">
        <v>77</v>
      </c>
      <c r="D12" s="5" t="s">
        <v>21</v>
      </c>
      <c r="E12" s="6">
        <v>15000</v>
      </c>
      <c r="F12" s="5" t="s">
        <v>78</v>
      </c>
      <c r="G12" s="5" t="s">
        <v>72</v>
      </c>
      <c r="H12" s="5" t="s">
        <v>79</v>
      </c>
      <c r="I12" s="5" t="s">
        <v>80</v>
      </c>
      <c r="J12" s="5" t="s">
        <v>81</v>
      </c>
      <c r="K12" s="5" t="s">
        <v>62</v>
      </c>
      <c r="L12" s="5">
        <f>SUM(M12:Q12)</f>
        <v>2</v>
      </c>
      <c r="M12" s="5">
        <v>0</v>
      </c>
      <c r="N12" s="5">
        <v>0</v>
      </c>
      <c r="O12" s="5">
        <v>1</v>
      </c>
      <c r="P12" s="5">
        <v>0</v>
      </c>
      <c r="Q12" s="5">
        <v>1</v>
      </c>
      <c r="R12" s="5">
        <v>11</v>
      </c>
      <c r="S12" s="5">
        <v>34</v>
      </c>
    </row>
    <row r="13" spans="1:19" ht="46.5" thickTop="1" thickBot="1" x14ac:dyDescent="0.3">
      <c r="A13" s="5">
        <v>2023</v>
      </c>
      <c r="B13" s="5" t="s">
        <v>76</v>
      </c>
      <c r="C13" s="5" t="s">
        <v>82</v>
      </c>
      <c r="D13" s="5" t="s">
        <v>21</v>
      </c>
      <c r="E13" s="6">
        <v>15000</v>
      </c>
      <c r="F13" s="5" t="s">
        <v>30</v>
      </c>
      <c r="G13" s="5" t="s">
        <v>72</v>
      </c>
      <c r="H13" s="5" t="s">
        <v>31</v>
      </c>
      <c r="I13" s="5" t="s">
        <v>72</v>
      </c>
      <c r="J13" s="5" t="s">
        <v>81</v>
      </c>
      <c r="K13" s="5" t="s">
        <v>27</v>
      </c>
      <c r="L13" s="5">
        <f>SUM(M13:Q13)</f>
        <v>2</v>
      </c>
      <c r="M13" s="5">
        <v>0</v>
      </c>
      <c r="N13" s="5">
        <v>0</v>
      </c>
      <c r="O13" s="5">
        <v>1</v>
      </c>
      <c r="P13" s="5">
        <v>0</v>
      </c>
      <c r="Q13" s="5">
        <v>1</v>
      </c>
      <c r="R13" s="5">
        <v>12</v>
      </c>
      <c r="S13" s="5">
        <v>21</v>
      </c>
    </row>
    <row r="14" spans="1:19" ht="31.5" thickTop="1" thickBot="1" x14ac:dyDescent="0.3">
      <c r="A14" s="7">
        <v>2022</v>
      </c>
      <c r="B14" s="7" t="s">
        <v>83</v>
      </c>
      <c r="C14" s="7" t="s">
        <v>84</v>
      </c>
      <c r="D14" s="7" t="s">
        <v>85</v>
      </c>
      <c r="E14" s="8">
        <v>200000</v>
      </c>
      <c r="F14" s="7" t="s">
        <v>22</v>
      </c>
      <c r="G14" s="7" t="s">
        <v>86</v>
      </c>
      <c r="H14" s="7" t="s">
        <v>87</v>
      </c>
      <c r="I14" s="7" t="s">
        <v>73</v>
      </c>
      <c r="J14" s="7" t="s">
        <v>88</v>
      </c>
      <c r="K14" s="7" t="s">
        <v>27</v>
      </c>
      <c r="L14" s="7">
        <f>SUM(M14:Q14)</f>
        <v>1</v>
      </c>
      <c r="M14" s="7">
        <v>0</v>
      </c>
      <c r="N14" s="7">
        <v>0</v>
      </c>
      <c r="O14" s="7">
        <v>1</v>
      </c>
      <c r="P14" s="7">
        <v>0</v>
      </c>
      <c r="Q14" s="7">
        <v>0</v>
      </c>
      <c r="R14" s="7">
        <v>13</v>
      </c>
      <c r="S14" s="7">
        <v>16</v>
      </c>
    </row>
    <row r="15" spans="1:19" ht="46.5" thickTop="1" thickBot="1" x14ac:dyDescent="0.3">
      <c r="A15" s="7">
        <v>2023</v>
      </c>
      <c r="B15" s="7" t="s">
        <v>83</v>
      </c>
      <c r="C15" s="7" t="s">
        <v>89</v>
      </c>
      <c r="D15" s="7" t="s">
        <v>85</v>
      </c>
      <c r="E15" s="8">
        <v>200000</v>
      </c>
      <c r="F15" s="7" t="s">
        <v>22</v>
      </c>
      <c r="G15" s="7" t="s">
        <v>86</v>
      </c>
      <c r="H15" s="7" t="s">
        <v>87</v>
      </c>
      <c r="I15" s="7" t="s">
        <v>73</v>
      </c>
      <c r="J15" s="7" t="s">
        <v>90</v>
      </c>
      <c r="K15" s="7" t="s">
        <v>27</v>
      </c>
      <c r="L15" s="7">
        <f>SUM(M15:Q15)</f>
        <v>1</v>
      </c>
      <c r="M15" s="7">
        <v>0</v>
      </c>
      <c r="N15" s="7">
        <v>0</v>
      </c>
      <c r="O15" s="7">
        <v>1</v>
      </c>
      <c r="P15" s="7">
        <v>0</v>
      </c>
      <c r="Q15" s="7">
        <v>0</v>
      </c>
      <c r="R15" s="7">
        <v>14</v>
      </c>
      <c r="S15" s="7">
        <v>29</v>
      </c>
    </row>
    <row r="16" spans="1:19" ht="46.5" thickTop="1" thickBot="1" x14ac:dyDescent="0.3">
      <c r="A16" s="9">
        <v>2021</v>
      </c>
      <c r="B16" s="9" t="s">
        <v>91</v>
      </c>
      <c r="C16" s="9" t="s">
        <v>92</v>
      </c>
      <c r="D16" s="9" t="s">
        <v>21</v>
      </c>
      <c r="E16" s="10">
        <v>10000</v>
      </c>
      <c r="F16" s="9" t="s">
        <v>22</v>
      </c>
      <c r="G16" s="9" t="s">
        <v>65</v>
      </c>
      <c r="H16" s="9" t="s">
        <v>93</v>
      </c>
      <c r="I16" s="9" t="s">
        <v>94</v>
      </c>
      <c r="J16" s="9" t="s">
        <v>95</v>
      </c>
      <c r="K16" s="9"/>
      <c r="L16" s="9">
        <f>SUM(M16:Q16)</f>
        <v>1</v>
      </c>
      <c r="M16" s="9">
        <v>0</v>
      </c>
      <c r="N16" s="9">
        <v>1</v>
      </c>
      <c r="O16" s="9">
        <v>0</v>
      </c>
      <c r="P16" s="9">
        <v>0</v>
      </c>
      <c r="Q16" s="9">
        <v>0</v>
      </c>
      <c r="R16" s="9">
        <v>15</v>
      </c>
      <c r="S16" s="9">
        <v>2</v>
      </c>
    </row>
    <row r="17" spans="1:19" ht="61.5" thickTop="1" thickBot="1" x14ac:dyDescent="0.3">
      <c r="A17" s="11">
        <v>2022</v>
      </c>
      <c r="B17" s="11" t="s">
        <v>96</v>
      </c>
      <c r="C17" s="11" t="s">
        <v>97</v>
      </c>
      <c r="D17" s="11" t="s">
        <v>53</v>
      </c>
      <c r="E17" s="12">
        <v>238013</v>
      </c>
      <c r="F17" s="11" t="s">
        <v>54</v>
      </c>
      <c r="G17" s="11" t="s">
        <v>55</v>
      </c>
      <c r="H17" s="11" t="s">
        <v>25</v>
      </c>
      <c r="I17" s="11" t="s">
        <v>56</v>
      </c>
      <c r="J17" s="11" t="s">
        <v>98</v>
      </c>
      <c r="K17" s="11" t="s">
        <v>27</v>
      </c>
      <c r="L17" s="11">
        <f>SUM(M17:Q17)</f>
        <v>2</v>
      </c>
      <c r="M17" s="11">
        <v>1</v>
      </c>
      <c r="N17" s="11">
        <v>0</v>
      </c>
      <c r="O17" s="11">
        <v>1</v>
      </c>
      <c r="P17" s="11">
        <v>0</v>
      </c>
      <c r="Q17" s="11">
        <v>0</v>
      </c>
      <c r="R17" s="11">
        <v>16</v>
      </c>
      <c r="S17" s="11">
        <v>12</v>
      </c>
    </row>
    <row r="18" spans="1:19" ht="61.5" thickTop="1" thickBot="1" x14ac:dyDescent="0.3">
      <c r="A18" s="11">
        <v>2023</v>
      </c>
      <c r="B18" s="11" t="s">
        <v>96</v>
      </c>
      <c r="C18" s="11" t="s">
        <v>99</v>
      </c>
      <c r="D18" s="11" t="s">
        <v>53</v>
      </c>
      <c r="E18" s="12">
        <v>238013</v>
      </c>
      <c r="F18" s="11" t="s">
        <v>54</v>
      </c>
      <c r="G18" s="11" t="s">
        <v>55</v>
      </c>
      <c r="H18" s="11" t="s">
        <v>31</v>
      </c>
      <c r="I18" s="11" t="s">
        <v>46</v>
      </c>
      <c r="J18" s="11" t="s">
        <v>100</v>
      </c>
      <c r="K18" s="11" t="s">
        <v>27</v>
      </c>
      <c r="L18" s="11">
        <f>SUM(M18:Q18)</f>
        <v>4</v>
      </c>
      <c r="M18" s="11">
        <v>0</v>
      </c>
      <c r="N18" s="11">
        <v>0</v>
      </c>
      <c r="O18" s="11">
        <v>4</v>
      </c>
      <c r="P18" s="11">
        <v>0</v>
      </c>
      <c r="Q18" s="11">
        <v>0</v>
      </c>
      <c r="R18" s="11">
        <v>17</v>
      </c>
      <c r="S18" s="11">
        <v>24</v>
      </c>
    </row>
    <row r="19" spans="1:19" ht="61.5" thickTop="1" thickBot="1" x14ac:dyDescent="0.3">
      <c r="A19" s="11">
        <v>2024</v>
      </c>
      <c r="B19" s="11" t="s">
        <v>101</v>
      </c>
      <c r="C19" s="11" t="s">
        <v>99</v>
      </c>
      <c r="D19" s="11" t="s">
        <v>53</v>
      </c>
      <c r="E19" s="12">
        <v>238013</v>
      </c>
      <c r="F19" s="11" t="s">
        <v>61</v>
      </c>
      <c r="G19" s="11" t="s">
        <v>55</v>
      </c>
      <c r="H19" s="11" t="s">
        <v>31</v>
      </c>
      <c r="I19" s="11" t="s">
        <v>46</v>
      </c>
      <c r="J19" s="11" t="s">
        <v>102</v>
      </c>
      <c r="K19" s="11" t="s">
        <v>27</v>
      </c>
      <c r="L19" s="11">
        <f>SUM(M19:Q19)</f>
        <v>5</v>
      </c>
      <c r="M19" s="11">
        <v>1</v>
      </c>
      <c r="N19" s="11">
        <v>0</v>
      </c>
      <c r="O19" s="11">
        <v>4</v>
      </c>
      <c r="P19" s="11">
        <v>0</v>
      </c>
      <c r="Q19" s="11">
        <v>0</v>
      </c>
      <c r="R19" s="11">
        <v>18</v>
      </c>
      <c r="S19" s="11">
        <v>41</v>
      </c>
    </row>
    <row r="20" spans="1:19" ht="46.5" thickTop="1" thickBot="1" x14ac:dyDescent="0.3">
      <c r="A20" s="13">
        <v>2024</v>
      </c>
      <c r="B20" s="13" t="s">
        <v>103</v>
      </c>
      <c r="C20" s="13" t="s">
        <v>104</v>
      </c>
      <c r="D20" s="13" t="s">
        <v>21</v>
      </c>
      <c r="E20" s="14">
        <v>15000</v>
      </c>
      <c r="F20" s="13" t="s">
        <v>78</v>
      </c>
      <c r="G20" s="13" t="s">
        <v>31</v>
      </c>
      <c r="H20" s="13" t="s">
        <v>86</v>
      </c>
      <c r="I20" s="13" t="s">
        <v>46</v>
      </c>
      <c r="J20" s="13" t="s">
        <v>47</v>
      </c>
      <c r="K20" s="13" t="s">
        <v>50</v>
      </c>
      <c r="L20" s="13">
        <f>SUM(M20:Q20)</f>
        <v>2</v>
      </c>
      <c r="M20" s="13">
        <v>0</v>
      </c>
      <c r="N20" s="13">
        <v>1</v>
      </c>
      <c r="O20" s="13">
        <v>0</v>
      </c>
      <c r="P20" s="13">
        <v>0</v>
      </c>
      <c r="Q20" s="13">
        <v>1</v>
      </c>
      <c r="R20" s="13">
        <v>19</v>
      </c>
      <c r="S20" s="13">
        <v>39</v>
      </c>
    </row>
    <row r="21" spans="1:19" ht="61.5" thickTop="1" thickBot="1" x14ac:dyDescent="0.3">
      <c r="A21" s="3">
        <v>2022</v>
      </c>
      <c r="B21" s="3" t="s">
        <v>105</v>
      </c>
      <c r="C21" s="3" t="s">
        <v>106</v>
      </c>
      <c r="D21" s="3" t="s">
        <v>21</v>
      </c>
      <c r="E21" s="4">
        <v>9700</v>
      </c>
      <c r="F21" s="3" t="s">
        <v>30</v>
      </c>
      <c r="G21" s="3" t="s">
        <v>107</v>
      </c>
      <c r="H21" s="3" t="s">
        <v>31</v>
      </c>
      <c r="I21" s="3" t="s">
        <v>108</v>
      </c>
      <c r="J21" s="3" t="s">
        <v>109</v>
      </c>
      <c r="K21" s="3" t="s">
        <v>27</v>
      </c>
      <c r="L21" s="3">
        <f>SUM(M21:Q21)</f>
        <v>3</v>
      </c>
      <c r="M21" s="3">
        <v>1</v>
      </c>
      <c r="N21" s="3">
        <v>0</v>
      </c>
      <c r="O21" s="3">
        <v>2</v>
      </c>
      <c r="P21" s="3">
        <v>0</v>
      </c>
      <c r="Q21" s="3">
        <v>0</v>
      </c>
      <c r="R21" s="3">
        <v>20</v>
      </c>
      <c r="S21" s="3">
        <v>8</v>
      </c>
    </row>
    <row r="22" spans="1:19" ht="61.5" thickTop="1" thickBot="1" x14ac:dyDescent="0.3">
      <c r="A22" s="5">
        <v>2023</v>
      </c>
      <c r="B22" s="5" t="s">
        <v>110</v>
      </c>
      <c r="C22" s="5" t="s">
        <v>111</v>
      </c>
      <c r="D22" s="5" t="s">
        <v>21</v>
      </c>
      <c r="E22" s="6">
        <v>14998</v>
      </c>
      <c r="F22" s="5" t="s">
        <v>30</v>
      </c>
      <c r="G22" s="5" t="s">
        <v>72</v>
      </c>
      <c r="H22" s="5" t="s">
        <v>79</v>
      </c>
      <c r="I22" s="5" t="s">
        <v>80</v>
      </c>
      <c r="J22" s="5" t="s">
        <v>112</v>
      </c>
      <c r="K22" s="5" t="s">
        <v>27</v>
      </c>
      <c r="L22" s="5">
        <f>SUM(M22:Q22)</f>
        <v>2</v>
      </c>
      <c r="M22" s="5">
        <v>2</v>
      </c>
      <c r="N22" s="5">
        <v>0</v>
      </c>
      <c r="O22" s="5">
        <v>0</v>
      </c>
      <c r="P22" s="5">
        <v>0</v>
      </c>
      <c r="Q22" s="5">
        <v>0</v>
      </c>
      <c r="R22" s="5">
        <v>21</v>
      </c>
      <c r="S22" s="5">
        <v>20</v>
      </c>
    </row>
    <row r="23" spans="1:19" ht="61.5" thickTop="1" thickBot="1" x14ac:dyDescent="0.3">
      <c r="A23" s="5">
        <v>2024</v>
      </c>
      <c r="B23" s="5" t="s">
        <v>110</v>
      </c>
      <c r="C23" s="5" t="s">
        <v>113</v>
      </c>
      <c r="D23" s="5" t="s">
        <v>21</v>
      </c>
      <c r="E23" s="6">
        <v>14998</v>
      </c>
      <c r="F23" s="5" t="s">
        <v>30</v>
      </c>
      <c r="G23" s="5" t="s">
        <v>72</v>
      </c>
      <c r="H23" s="5" t="s">
        <v>73</v>
      </c>
      <c r="I23" s="5" t="s">
        <v>79</v>
      </c>
      <c r="J23" s="5" t="s">
        <v>112</v>
      </c>
      <c r="K23" s="5" t="s">
        <v>62</v>
      </c>
      <c r="L23" s="5">
        <f>SUM(M23:Q23)</f>
        <v>3</v>
      </c>
      <c r="M23" s="5">
        <v>3</v>
      </c>
      <c r="N23" s="5">
        <v>0</v>
      </c>
      <c r="O23" s="5">
        <v>0</v>
      </c>
      <c r="P23" s="5">
        <v>0</v>
      </c>
      <c r="Q23" s="5">
        <v>0</v>
      </c>
      <c r="R23" s="5">
        <v>22</v>
      </c>
      <c r="S23" s="5">
        <v>33</v>
      </c>
    </row>
    <row r="24" spans="1:19" ht="61.5" thickTop="1" thickBot="1" x14ac:dyDescent="0.3">
      <c r="A24" s="7">
        <v>2021</v>
      </c>
      <c r="B24" s="7" t="s">
        <v>114</v>
      </c>
      <c r="C24" s="7" t="s">
        <v>115</v>
      </c>
      <c r="D24" s="7" t="s">
        <v>21</v>
      </c>
      <c r="E24" s="8">
        <v>9500</v>
      </c>
      <c r="F24" s="7" t="s">
        <v>116</v>
      </c>
      <c r="G24" s="7" t="s">
        <v>117</v>
      </c>
      <c r="H24" s="7" t="s">
        <v>118</v>
      </c>
      <c r="I24" s="7" t="s">
        <v>119</v>
      </c>
      <c r="J24" s="7" t="s">
        <v>120</v>
      </c>
      <c r="K24" s="7"/>
      <c r="L24" s="7">
        <f>SUM(M24:Q24)</f>
        <v>1</v>
      </c>
      <c r="M24" s="7">
        <v>0</v>
      </c>
      <c r="N24" s="7">
        <v>0</v>
      </c>
      <c r="O24" s="7">
        <v>1</v>
      </c>
      <c r="P24" s="7">
        <v>0</v>
      </c>
      <c r="Q24" s="7">
        <v>0</v>
      </c>
      <c r="R24" s="7">
        <v>23</v>
      </c>
      <c r="S24" s="7">
        <v>3</v>
      </c>
    </row>
    <row r="25" spans="1:19" ht="46.5" thickTop="1" thickBot="1" x14ac:dyDescent="0.3">
      <c r="A25" s="9">
        <v>2022</v>
      </c>
      <c r="B25" s="9" t="s">
        <v>121</v>
      </c>
      <c r="C25" s="9" t="s">
        <v>122</v>
      </c>
      <c r="D25" s="9" t="s">
        <v>53</v>
      </c>
      <c r="E25" s="10">
        <v>122318</v>
      </c>
      <c r="F25" s="9" t="s">
        <v>54</v>
      </c>
      <c r="G25" s="9" t="s">
        <v>55</v>
      </c>
      <c r="H25" s="9" t="s">
        <v>46</v>
      </c>
      <c r="I25" s="9" t="s">
        <v>56</v>
      </c>
      <c r="J25" s="9" t="s">
        <v>123</v>
      </c>
      <c r="K25" s="9" t="s">
        <v>27</v>
      </c>
      <c r="L25" s="9">
        <f>SUM(M25:Q25)</f>
        <v>1</v>
      </c>
      <c r="M25" s="9">
        <v>0</v>
      </c>
      <c r="N25" s="9">
        <v>1</v>
      </c>
      <c r="O25" s="9">
        <v>0</v>
      </c>
      <c r="P25" s="9">
        <v>0</v>
      </c>
      <c r="Q25" s="9">
        <v>0</v>
      </c>
      <c r="R25" s="9">
        <v>24</v>
      </c>
      <c r="S25" s="9">
        <v>13</v>
      </c>
    </row>
    <row r="26" spans="1:19" ht="46.5" thickTop="1" thickBot="1" x14ac:dyDescent="0.3">
      <c r="A26" s="9">
        <v>2023</v>
      </c>
      <c r="B26" s="9" t="s">
        <v>121</v>
      </c>
      <c r="C26" s="9" t="s">
        <v>122</v>
      </c>
      <c r="D26" s="9" t="s">
        <v>53</v>
      </c>
      <c r="E26" s="10">
        <v>122318</v>
      </c>
      <c r="F26" s="9" t="s">
        <v>30</v>
      </c>
      <c r="G26" s="9" t="s">
        <v>55</v>
      </c>
      <c r="H26" s="9" t="s">
        <v>56</v>
      </c>
      <c r="I26" s="9" t="s">
        <v>46</v>
      </c>
      <c r="J26" s="9" t="s">
        <v>124</v>
      </c>
      <c r="K26" s="9" t="s">
        <v>27</v>
      </c>
      <c r="L26" s="9">
        <f>SUM(M26:Q26)</f>
        <v>1</v>
      </c>
      <c r="M26" s="9">
        <v>0</v>
      </c>
      <c r="N26" s="9">
        <v>1</v>
      </c>
      <c r="O26" s="9">
        <v>0</v>
      </c>
      <c r="P26" s="9">
        <v>0</v>
      </c>
      <c r="Q26" s="9">
        <v>0</v>
      </c>
      <c r="R26" s="9">
        <v>25</v>
      </c>
      <c r="S26" s="9">
        <v>25</v>
      </c>
    </row>
    <row r="27" spans="1:19" ht="46.5" thickTop="1" thickBot="1" x14ac:dyDescent="0.3">
      <c r="A27" s="9">
        <v>2024</v>
      </c>
      <c r="B27" s="9" t="s">
        <v>125</v>
      </c>
      <c r="C27" s="9" t="s">
        <v>126</v>
      </c>
      <c r="D27" s="9" t="s">
        <v>53</v>
      </c>
      <c r="E27" s="10">
        <v>122318</v>
      </c>
      <c r="F27" s="9" t="s">
        <v>30</v>
      </c>
      <c r="G27" s="9" t="s">
        <v>55</v>
      </c>
      <c r="H27" s="9" t="s">
        <v>56</v>
      </c>
      <c r="I27" s="9" t="s">
        <v>86</v>
      </c>
      <c r="J27" s="9" t="s">
        <v>124</v>
      </c>
      <c r="K27" s="9" t="s">
        <v>27</v>
      </c>
      <c r="L27" s="9">
        <f>SUM(M27:Q27)</f>
        <v>1</v>
      </c>
      <c r="M27" s="9">
        <v>0</v>
      </c>
      <c r="N27" s="9">
        <v>1</v>
      </c>
      <c r="O27" s="9">
        <v>0</v>
      </c>
      <c r="P27" s="9">
        <v>0</v>
      </c>
      <c r="Q27" s="9">
        <v>0</v>
      </c>
      <c r="R27" s="9">
        <v>26</v>
      </c>
      <c r="S27" s="9">
        <v>44</v>
      </c>
    </row>
    <row r="28" spans="1:19" ht="46.5" thickTop="1" thickBot="1" x14ac:dyDescent="0.3">
      <c r="A28" s="11">
        <v>2023</v>
      </c>
      <c r="B28" s="11" t="s">
        <v>127</v>
      </c>
      <c r="C28" s="11" t="s">
        <v>128</v>
      </c>
      <c r="D28" s="11" t="s">
        <v>21</v>
      </c>
      <c r="E28" s="12">
        <v>15141</v>
      </c>
      <c r="F28" s="11" t="s">
        <v>54</v>
      </c>
      <c r="G28" s="11" t="s">
        <v>55</v>
      </c>
      <c r="H28" s="11" t="s">
        <v>25</v>
      </c>
      <c r="I28" s="11" t="s">
        <v>56</v>
      </c>
      <c r="J28" s="11" t="s">
        <v>129</v>
      </c>
      <c r="K28" s="11" t="s">
        <v>27</v>
      </c>
      <c r="L28" s="11">
        <f>SUM(M28:Q28)</f>
        <v>8</v>
      </c>
      <c r="M28" s="11">
        <v>0</v>
      </c>
      <c r="N28" s="11">
        <v>2</v>
      </c>
      <c r="O28" s="11">
        <v>1</v>
      </c>
      <c r="P28" s="11">
        <v>1</v>
      </c>
      <c r="Q28" s="11">
        <v>4</v>
      </c>
      <c r="R28" s="11">
        <v>27</v>
      </c>
      <c r="S28" s="11">
        <v>19</v>
      </c>
    </row>
    <row r="29" spans="1:19" ht="46.5" thickTop="1" thickBot="1" x14ac:dyDescent="0.3">
      <c r="A29" s="11">
        <v>2024</v>
      </c>
      <c r="B29" s="11" t="s">
        <v>127</v>
      </c>
      <c r="C29" s="11" t="s">
        <v>130</v>
      </c>
      <c r="D29" s="11" t="s">
        <v>21</v>
      </c>
      <c r="E29" s="12">
        <v>15141</v>
      </c>
      <c r="F29" s="11" t="s">
        <v>30</v>
      </c>
      <c r="G29" s="11" t="s">
        <v>55</v>
      </c>
      <c r="H29" s="11" t="s">
        <v>56</v>
      </c>
      <c r="I29" s="11" t="s">
        <v>25</v>
      </c>
      <c r="J29" s="11" t="s">
        <v>131</v>
      </c>
      <c r="K29" s="11" t="s">
        <v>62</v>
      </c>
      <c r="L29" s="11">
        <f>SUM(M29:Q29)</f>
        <v>2</v>
      </c>
      <c r="M29" s="11">
        <v>0</v>
      </c>
      <c r="N29" s="11">
        <v>1</v>
      </c>
      <c r="O29" s="11">
        <v>1</v>
      </c>
      <c r="P29" s="11">
        <v>0</v>
      </c>
      <c r="Q29" s="11">
        <v>0</v>
      </c>
      <c r="R29" s="11">
        <v>28</v>
      </c>
      <c r="S29" s="11">
        <v>32</v>
      </c>
    </row>
    <row r="30" spans="1:19" ht="61.5" thickTop="1" thickBot="1" x14ac:dyDescent="0.3">
      <c r="A30" s="13">
        <v>2022</v>
      </c>
      <c r="B30" s="13" t="s">
        <v>132</v>
      </c>
      <c r="C30" s="13" t="s">
        <v>133</v>
      </c>
      <c r="D30" s="13" t="s">
        <v>21</v>
      </c>
      <c r="E30" s="14">
        <v>10000</v>
      </c>
      <c r="F30" s="13" t="s">
        <v>30</v>
      </c>
      <c r="G30" s="13" t="s">
        <v>134</v>
      </c>
      <c r="H30" s="13" t="s">
        <v>56</v>
      </c>
      <c r="I30" s="13" t="s">
        <v>31</v>
      </c>
      <c r="J30" s="13" t="s">
        <v>135</v>
      </c>
      <c r="K30" s="13" t="s">
        <v>27</v>
      </c>
      <c r="L30" s="13">
        <f>SUM(M30:Q30)</f>
        <v>1</v>
      </c>
      <c r="M30" s="13">
        <v>0</v>
      </c>
      <c r="N30" s="13">
        <v>0</v>
      </c>
      <c r="O30" s="13">
        <v>1</v>
      </c>
      <c r="P30" s="13">
        <v>0</v>
      </c>
      <c r="Q30" s="13">
        <v>0</v>
      </c>
      <c r="R30" s="13">
        <v>29</v>
      </c>
      <c r="S30" s="13">
        <v>10</v>
      </c>
    </row>
    <row r="31" spans="1:19" ht="31.5" thickTop="1" thickBot="1" x14ac:dyDescent="0.3">
      <c r="A31" s="3">
        <v>2022</v>
      </c>
      <c r="B31" s="3" t="s">
        <v>136</v>
      </c>
      <c r="C31" s="3" t="s">
        <v>137</v>
      </c>
      <c r="D31" s="3" t="s">
        <v>138</v>
      </c>
      <c r="E31" s="4">
        <v>250000</v>
      </c>
      <c r="F31" s="3" t="s">
        <v>30</v>
      </c>
      <c r="G31" s="3" t="s">
        <v>72</v>
      </c>
      <c r="H31" s="3" t="s">
        <v>107</v>
      </c>
      <c r="I31" s="3" t="s">
        <v>86</v>
      </c>
      <c r="J31" s="3" t="s">
        <v>34</v>
      </c>
      <c r="K31" s="3" t="s">
        <v>35</v>
      </c>
      <c r="L31" s="3">
        <f>SUM(M31:Q31)</f>
        <v>1</v>
      </c>
      <c r="M31" s="3">
        <v>0</v>
      </c>
      <c r="N31" s="3">
        <v>0</v>
      </c>
      <c r="O31" s="3">
        <v>1</v>
      </c>
      <c r="P31" s="3">
        <v>0</v>
      </c>
      <c r="Q31" s="3">
        <v>0</v>
      </c>
      <c r="R31" s="3">
        <v>30</v>
      </c>
      <c r="S31" s="3">
        <v>14</v>
      </c>
    </row>
    <row r="32" spans="1:19" ht="31.5" thickTop="1" thickBot="1" x14ac:dyDescent="0.3">
      <c r="A32" s="3">
        <v>2023</v>
      </c>
      <c r="B32" s="3" t="s">
        <v>136</v>
      </c>
      <c r="C32" s="3" t="s">
        <v>137</v>
      </c>
      <c r="D32" s="3" t="s">
        <v>138</v>
      </c>
      <c r="E32" s="4">
        <v>250000</v>
      </c>
      <c r="F32" s="3" t="s">
        <v>30</v>
      </c>
      <c r="G32" s="3" t="s">
        <v>72</v>
      </c>
      <c r="H32" s="3" t="s">
        <v>139</v>
      </c>
      <c r="I32" s="3" t="s">
        <v>107</v>
      </c>
      <c r="J32" s="3" t="s">
        <v>68</v>
      </c>
      <c r="K32" s="3" t="s">
        <v>35</v>
      </c>
      <c r="L32" s="3">
        <f>SUM(M32:Q32)</f>
        <v>5</v>
      </c>
      <c r="M32" s="3">
        <v>1</v>
      </c>
      <c r="N32" s="3">
        <v>0</v>
      </c>
      <c r="O32" s="3">
        <v>2</v>
      </c>
      <c r="P32" s="3">
        <v>0</v>
      </c>
      <c r="Q32" s="3">
        <v>2</v>
      </c>
      <c r="R32" s="3">
        <v>31</v>
      </c>
      <c r="S32" s="3">
        <v>26</v>
      </c>
    </row>
    <row r="33" spans="1:19" ht="31.5" thickTop="1" thickBot="1" x14ac:dyDescent="0.3">
      <c r="A33" s="3">
        <v>2024</v>
      </c>
      <c r="B33" s="3" t="s">
        <v>140</v>
      </c>
      <c r="C33" s="3" t="s">
        <v>141</v>
      </c>
      <c r="D33" s="3" t="s">
        <v>138</v>
      </c>
      <c r="E33" s="4">
        <v>250000</v>
      </c>
      <c r="F33" s="3" t="s">
        <v>30</v>
      </c>
      <c r="G33" s="3" t="s">
        <v>72</v>
      </c>
      <c r="H33" s="3" t="s">
        <v>139</v>
      </c>
      <c r="I33" s="3" t="s">
        <v>107</v>
      </c>
      <c r="J33" s="3" t="s">
        <v>68</v>
      </c>
      <c r="K33" s="3" t="s">
        <v>35</v>
      </c>
      <c r="L33" s="3">
        <f>SUM(M33:Q33)</f>
        <v>6</v>
      </c>
      <c r="M33" s="3">
        <v>2</v>
      </c>
      <c r="N33" s="3">
        <v>1</v>
      </c>
      <c r="O33" s="3">
        <v>3</v>
      </c>
      <c r="P33" s="3">
        <v>0</v>
      </c>
      <c r="Q33" s="3">
        <v>0</v>
      </c>
      <c r="R33" s="3">
        <v>32</v>
      </c>
      <c r="S33" s="3">
        <v>42</v>
      </c>
    </row>
    <row r="34" spans="1:19" ht="46.5" thickTop="1" thickBot="1" x14ac:dyDescent="0.3">
      <c r="A34" s="5">
        <v>2022</v>
      </c>
      <c r="B34" s="5" t="s">
        <v>142</v>
      </c>
      <c r="C34" s="5" t="s">
        <v>143</v>
      </c>
      <c r="D34" s="5" t="s">
        <v>85</v>
      </c>
      <c r="E34" s="6">
        <v>200000</v>
      </c>
      <c r="F34" s="5" t="s">
        <v>38</v>
      </c>
      <c r="G34" s="5" t="s">
        <v>87</v>
      </c>
      <c r="H34" s="5" t="s">
        <v>73</v>
      </c>
      <c r="I34" s="5" t="s">
        <v>86</v>
      </c>
      <c r="J34" s="5" t="s">
        <v>144</v>
      </c>
      <c r="K34" s="5" t="s">
        <v>27</v>
      </c>
      <c r="L34" s="5">
        <f>SUM(M34:Q34)</f>
        <v>1</v>
      </c>
      <c r="M34" s="5">
        <v>0</v>
      </c>
      <c r="N34" s="5">
        <v>0</v>
      </c>
      <c r="O34" s="5">
        <v>1</v>
      </c>
      <c r="P34" s="5">
        <v>0</v>
      </c>
      <c r="Q34" s="5">
        <v>0</v>
      </c>
      <c r="R34" s="5">
        <v>33</v>
      </c>
      <c r="S34" s="5">
        <v>17</v>
      </c>
    </row>
    <row r="35" spans="1:19" ht="46.5" thickTop="1" thickBot="1" x14ac:dyDescent="0.3">
      <c r="A35" s="5">
        <v>2023</v>
      </c>
      <c r="B35" s="5" t="s">
        <v>142</v>
      </c>
      <c r="C35" s="5" t="s">
        <v>143</v>
      </c>
      <c r="D35" s="5" t="s">
        <v>85</v>
      </c>
      <c r="E35" s="6">
        <v>200000</v>
      </c>
      <c r="F35" s="5" t="s">
        <v>38</v>
      </c>
      <c r="G35" s="5" t="s">
        <v>87</v>
      </c>
      <c r="H35" s="5" t="s">
        <v>73</v>
      </c>
      <c r="I35" s="5" t="s">
        <v>86</v>
      </c>
      <c r="J35" s="5" t="s">
        <v>145</v>
      </c>
      <c r="K35" s="5" t="s">
        <v>27</v>
      </c>
      <c r="L35" s="5">
        <f>SUM(M35:Q35)</f>
        <v>2</v>
      </c>
      <c r="M35" s="5">
        <v>0</v>
      </c>
      <c r="N35" s="5">
        <v>0</v>
      </c>
      <c r="O35" s="5">
        <v>2</v>
      </c>
      <c r="P35" s="5">
        <v>0</v>
      </c>
      <c r="Q35" s="5">
        <v>0</v>
      </c>
      <c r="R35" s="5">
        <v>34</v>
      </c>
      <c r="S35" s="5">
        <v>23</v>
      </c>
    </row>
    <row r="36" spans="1:19" ht="46.5" thickTop="1" thickBot="1" x14ac:dyDescent="0.3">
      <c r="A36" s="5">
        <v>2024</v>
      </c>
      <c r="B36" s="5" t="s">
        <v>146</v>
      </c>
      <c r="C36" s="5" t="s">
        <v>147</v>
      </c>
      <c r="D36" s="5" t="s">
        <v>85</v>
      </c>
      <c r="E36" s="6">
        <v>200000</v>
      </c>
      <c r="F36" s="5" t="s">
        <v>38</v>
      </c>
      <c r="G36" s="5" t="s">
        <v>87</v>
      </c>
      <c r="H36" s="5" t="s">
        <v>73</v>
      </c>
      <c r="I36" s="5" t="s">
        <v>86</v>
      </c>
      <c r="J36" s="5" t="s">
        <v>148</v>
      </c>
      <c r="K36" s="5" t="s">
        <v>62</v>
      </c>
      <c r="L36" s="5">
        <f>SUM(M36:Q36)</f>
        <v>2</v>
      </c>
      <c r="M36" s="5">
        <v>0</v>
      </c>
      <c r="N36" s="5">
        <v>0</v>
      </c>
      <c r="O36" s="5">
        <v>2</v>
      </c>
      <c r="P36" s="5">
        <v>0</v>
      </c>
      <c r="Q36" s="5">
        <v>0</v>
      </c>
      <c r="R36" s="5">
        <v>35</v>
      </c>
      <c r="S36" s="5">
        <v>40</v>
      </c>
    </row>
    <row r="37" spans="1:19" ht="46.5" thickTop="1" thickBot="1" x14ac:dyDescent="0.3">
      <c r="A37" s="7">
        <v>2024</v>
      </c>
      <c r="B37" s="7" t="s">
        <v>149</v>
      </c>
      <c r="C37" s="7" t="s">
        <v>150</v>
      </c>
      <c r="D37" s="7" t="s">
        <v>21</v>
      </c>
      <c r="E37" s="8">
        <v>15000</v>
      </c>
      <c r="F37" s="7" t="s">
        <v>151</v>
      </c>
      <c r="G37" s="7" t="s">
        <v>152</v>
      </c>
      <c r="H37" s="7" t="s">
        <v>86</v>
      </c>
      <c r="I37" s="7" t="s">
        <v>49</v>
      </c>
      <c r="J37" s="7" t="s">
        <v>42</v>
      </c>
      <c r="K37" s="7" t="s">
        <v>62</v>
      </c>
      <c r="L37" s="7">
        <f>SUM(M37:Q37)</f>
        <v>2</v>
      </c>
      <c r="M37" s="7">
        <v>0</v>
      </c>
      <c r="N37" s="7">
        <v>0</v>
      </c>
      <c r="O37" s="7">
        <v>1</v>
      </c>
      <c r="P37" s="7">
        <v>0</v>
      </c>
      <c r="Q37" s="7">
        <v>1</v>
      </c>
      <c r="R37" s="7">
        <v>36</v>
      </c>
      <c r="S37" s="7">
        <v>36</v>
      </c>
    </row>
    <row r="38" spans="1:19" ht="61.5" thickTop="1" thickBot="1" x14ac:dyDescent="0.3">
      <c r="A38" s="9">
        <v>2021</v>
      </c>
      <c r="B38" s="9" t="s">
        <v>153</v>
      </c>
      <c r="C38" s="9" t="s">
        <v>154</v>
      </c>
      <c r="D38" s="9" t="s">
        <v>21</v>
      </c>
      <c r="E38" s="10">
        <v>5000</v>
      </c>
      <c r="F38" s="9" t="s">
        <v>116</v>
      </c>
      <c r="G38" s="9" t="s">
        <v>155</v>
      </c>
      <c r="H38" s="9" t="s">
        <v>156</v>
      </c>
      <c r="I38" s="9" t="s">
        <v>157</v>
      </c>
      <c r="J38" s="9" t="s">
        <v>158</v>
      </c>
      <c r="K38" s="9"/>
      <c r="L38" s="9">
        <f>SUM(M38:Q38)</f>
        <v>0</v>
      </c>
      <c r="M38" s="9">
        <v>0</v>
      </c>
      <c r="N38" s="9">
        <v>0</v>
      </c>
      <c r="O38" s="9">
        <v>0</v>
      </c>
      <c r="P38" s="9">
        <v>0</v>
      </c>
      <c r="Q38" s="9">
        <v>0</v>
      </c>
      <c r="R38" s="9">
        <v>37</v>
      </c>
      <c r="S38" s="9">
        <v>6</v>
      </c>
    </row>
    <row r="39" spans="1:19" ht="46.5" thickTop="1" thickBot="1" x14ac:dyDescent="0.3">
      <c r="A39" s="11">
        <v>2021</v>
      </c>
      <c r="B39" s="11" t="s">
        <v>159</v>
      </c>
      <c r="C39" s="11" t="s">
        <v>160</v>
      </c>
      <c r="D39" s="11" t="s">
        <v>21</v>
      </c>
      <c r="E39" s="12">
        <v>9999</v>
      </c>
      <c r="F39" s="11"/>
      <c r="G39" s="11" t="s">
        <v>94</v>
      </c>
      <c r="H39" s="11"/>
      <c r="I39" s="11"/>
      <c r="J39" s="11" t="s">
        <v>161</v>
      </c>
      <c r="K39" s="11"/>
      <c r="L39" s="11">
        <f>SUM(M39:Q39)</f>
        <v>3</v>
      </c>
      <c r="M39" s="11">
        <v>0</v>
      </c>
      <c r="N39" s="11">
        <v>2</v>
      </c>
      <c r="O39" s="11">
        <v>1</v>
      </c>
      <c r="P39" s="11">
        <v>0</v>
      </c>
      <c r="Q39" s="11">
        <v>0</v>
      </c>
      <c r="R39" s="11">
        <v>39</v>
      </c>
      <c r="S39" s="11">
        <v>4</v>
      </c>
    </row>
    <row r="40" spans="1:19" ht="76.5" thickTop="1" thickBot="1" x14ac:dyDescent="0.3">
      <c r="A40" s="13">
        <v>2024</v>
      </c>
      <c r="B40" s="13" t="s">
        <v>162</v>
      </c>
      <c r="C40" s="13" t="s">
        <v>163</v>
      </c>
      <c r="D40" s="13" t="s">
        <v>21</v>
      </c>
      <c r="E40" s="14">
        <v>15000</v>
      </c>
      <c r="F40" s="13" t="s">
        <v>30</v>
      </c>
      <c r="G40" s="13" t="s">
        <v>72</v>
      </c>
      <c r="H40" s="13" t="s">
        <v>31</v>
      </c>
      <c r="I40" s="13" t="s">
        <v>164</v>
      </c>
      <c r="J40" s="13" t="s">
        <v>165</v>
      </c>
      <c r="K40" s="13" t="s">
        <v>166</v>
      </c>
      <c r="L40" s="13">
        <f>SUM(M40:Q40)</f>
        <v>0</v>
      </c>
      <c r="M40" s="13">
        <v>0</v>
      </c>
      <c r="N40" s="13">
        <v>0</v>
      </c>
      <c r="O40" s="13">
        <v>0</v>
      </c>
      <c r="P40" s="13">
        <v>0</v>
      </c>
      <c r="Q40" s="13">
        <v>0</v>
      </c>
      <c r="R40" s="13">
        <v>40</v>
      </c>
      <c r="S40" s="13">
        <v>38</v>
      </c>
    </row>
    <row r="41" spans="1:19" ht="61.5" thickTop="1" thickBot="1" x14ac:dyDescent="0.3">
      <c r="A41" s="3">
        <v>2022</v>
      </c>
      <c r="B41" s="3" t="s">
        <v>167</v>
      </c>
      <c r="C41" s="3" t="s">
        <v>168</v>
      </c>
      <c r="D41" s="3" t="s">
        <v>53</v>
      </c>
      <c r="E41" s="4">
        <v>240624</v>
      </c>
      <c r="F41" s="3" t="s">
        <v>54</v>
      </c>
      <c r="G41" s="3" t="s">
        <v>55</v>
      </c>
      <c r="H41" s="3"/>
      <c r="I41" s="3"/>
      <c r="J41" s="3" t="s">
        <v>169</v>
      </c>
      <c r="K41" s="3" t="s">
        <v>27</v>
      </c>
      <c r="L41" s="3">
        <f>SUM(M41:Q41)</f>
        <v>4</v>
      </c>
      <c r="M41" s="3">
        <v>2</v>
      </c>
      <c r="N41" s="3">
        <v>1</v>
      </c>
      <c r="O41" s="3">
        <v>0</v>
      </c>
      <c r="P41" s="3">
        <v>1</v>
      </c>
      <c r="Q41" s="3">
        <v>0</v>
      </c>
      <c r="R41" s="3">
        <v>41</v>
      </c>
      <c r="S41" s="3">
        <v>11</v>
      </c>
    </row>
    <row r="42" spans="1:19" ht="61.5" thickTop="1" thickBot="1" x14ac:dyDescent="0.3">
      <c r="A42" s="3">
        <v>2023</v>
      </c>
      <c r="B42" s="3" t="s">
        <v>167</v>
      </c>
      <c r="C42" s="3" t="s">
        <v>170</v>
      </c>
      <c r="D42" s="3" t="s">
        <v>53</v>
      </c>
      <c r="E42" s="4">
        <v>240624</v>
      </c>
      <c r="F42" s="3" t="s">
        <v>54</v>
      </c>
      <c r="G42" s="3" t="s">
        <v>55</v>
      </c>
      <c r="H42" s="3" t="s">
        <v>32</v>
      </c>
      <c r="I42" s="3" t="s">
        <v>56</v>
      </c>
      <c r="J42" s="3" t="s">
        <v>171</v>
      </c>
      <c r="K42" s="3" t="s">
        <v>27</v>
      </c>
      <c r="L42" s="3">
        <f>SUM(M42:Q42)</f>
        <v>4</v>
      </c>
      <c r="M42" s="3">
        <v>2</v>
      </c>
      <c r="N42" s="3">
        <v>1</v>
      </c>
      <c r="O42" s="3">
        <v>0</v>
      </c>
      <c r="P42" s="3">
        <v>0</v>
      </c>
      <c r="Q42" s="3">
        <v>1</v>
      </c>
      <c r="R42" s="3">
        <v>42</v>
      </c>
      <c r="S42" s="3">
        <v>28</v>
      </c>
    </row>
    <row r="43" spans="1:19" ht="60.75" thickTop="1" x14ac:dyDescent="0.25">
      <c r="A43" s="3">
        <v>2024</v>
      </c>
      <c r="B43" s="3" t="s">
        <v>167</v>
      </c>
      <c r="C43" s="3" t="s">
        <v>170</v>
      </c>
      <c r="D43" s="3" t="s">
        <v>53</v>
      </c>
      <c r="E43" s="4">
        <v>240624</v>
      </c>
      <c r="F43" s="3" t="s">
        <v>61</v>
      </c>
      <c r="G43" s="3" t="s">
        <v>55</v>
      </c>
      <c r="H43" s="3" t="s">
        <v>32</v>
      </c>
      <c r="I43" s="3" t="s">
        <v>56</v>
      </c>
      <c r="J43" s="3" t="s">
        <v>171</v>
      </c>
      <c r="K43" s="3" t="s">
        <v>62</v>
      </c>
      <c r="L43" s="3">
        <f>SUM(M43:Q43)</f>
        <v>4</v>
      </c>
      <c r="M43" s="3">
        <v>2</v>
      </c>
      <c r="N43" s="3">
        <v>1</v>
      </c>
      <c r="O43" s="3">
        <v>0</v>
      </c>
      <c r="P43" s="3">
        <v>0</v>
      </c>
      <c r="Q43" s="3">
        <v>1</v>
      </c>
      <c r="R43" s="3">
        <v>43</v>
      </c>
      <c r="S43" s="3">
        <v>45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Fallaw, Alex</dc:creator>
  <cp:lastModifiedBy>Fallaw, Alex</cp:lastModifiedBy>
  <dcterms:created xsi:type="dcterms:W3CDTF">2026-01-18T16:15:52Z</dcterms:created>
  <dcterms:modified xsi:type="dcterms:W3CDTF">2026-01-18T16:28:13Z</dcterms:modified>
</cp:coreProperties>
</file>