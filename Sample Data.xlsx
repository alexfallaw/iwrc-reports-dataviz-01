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leza\Documents\IWRC\"/>
    </mc:Choice>
  </mc:AlternateContent>
  <xr:revisionPtr revIDLastSave="0" documentId="13_ncr:9_{2A6CB842-A438-46EE-84CA-15ADC694440D}" xr6:coauthVersionLast="47" xr6:coauthVersionMax="47" xr10:uidLastSave="{00000000-0000-0000-0000-000000000000}"/>
  <bookViews>
    <workbookView xWindow="-120" yWindow="-120" windowWidth="29040" windowHeight="15720" tabRatio="255" xr2:uid="{38E2AC96-5AF4-4BA7-B92B-D92858B86B1B}"/>
  </bookViews>
  <sheets>
    <sheet name="sample_projects" sheetId="1" r:id="rId1"/>
    <sheet name="sample_products" sheetId="2" r:id="rId2"/>
    <sheet name="sample_award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3" i="1" l="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<sst xmlns="http://schemas.openxmlformats.org/spreadsheetml/2006/main" count="862" uniqueCount="339">
  <si>
    <t>Report Year</t>
  </si>
  <si>
    <t>Project ID</t>
  </si>
  <si>
    <t>Project Title</t>
  </si>
  <si>
    <t>Funding Type</t>
  </si>
  <si>
    <t>Funding Amount</t>
  </si>
  <si>
    <t>WRRI Science Priority</t>
  </si>
  <si>
    <t>Focus Category 1</t>
  </si>
  <si>
    <t>Focus Category 2</t>
  </si>
  <si>
    <t>Focus Category 3</t>
  </si>
  <si>
    <t>Project PIs</t>
  </si>
  <si>
    <t>PI Affiliated Organization</t>
  </si>
  <si>
    <t>Total Students Supported with Funding</t>
  </si>
  <si>
    <t>Masters Students Supported by WRRA $</t>
  </si>
  <si>
    <t>PhD Students Supported by WRRA $</t>
  </si>
  <si>
    <t>Postdocs Supported by WRRA $</t>
  </si>
  <si>
    <t>Students Supported by Non-Federal (Matching) Funds</t>
  </si>
  <si>
    <t>Sorted ID</t>
  </si>
  <si>
    <t>Unsorted ID</t>
  </si>
  <si>
    <t>IL-2022_Sankaran</t>
  </si>
  <si>
    <t>A hybrid plasma-electrocatalyst activated process for the synthesis of ammonia from air and water</t>
  </si>
  <si>
    <t>Base Grant (104b)</t>
  </si>
  <si>
    <t>Water Technology and innovation</t>
  </si>
  <si>
    <t>agriculture</t>
  </si>
  <si>
    <t>atmospheric deposition</t>
  </si>
  <si>
    <t>conservation</t>
  </si>
  <si>
    <t>Dr. R. Mohan Sankaran</t>
  </si>
  <si>
    <t>University of Illinois at Urbana-Champaign</t>
  </si>
  <si>
    <t>IL-2022_Lampert_B</t>
  </si>
  <si>
    <t>Analyzing nutrient sources in the production of harmful algal blooms in Long Lake and reducing energy use for wastewater nutrient removal using machine learning</t>
  </si>
  <si>
    <t>Water Quality</t>
  </si>
  <si>
    <t>surface water</t>
  </si>
  <si>
    <t>wastewater</t>
  </si>
  <si>
    <t>phosphorus</t>
  </si>
  <si>
    <t>Dr. David Lampert</t>
  </si>
  <si>
    <t>Illinois Institute of Technology</t>
  </si>
  <si>
    <t>IL_2021_Stillwell</t>
  </si>
  <si>
    <t>Assessing the Feasibility of Non-Potable Water Reuse in Illinois</t>
  </si>
  <si>
    <t>Water Scarcity and Availability</t>
  </si>
  <si>
    <t>WATER SUPPLY</t>
  </si>
  <si>
    <t>LAW, INSTITUTIONS, AND POLICY</t>
  </si>
  <si>
    <t>MANAGEMENT AND PLANNING</t>
  </si>
  <si>
    <t>Ashlynn Stillwell</t>
  </si>
  <si>
    <t>IL_2023_Li</t>
  </si>
  <si>
    <t>Assessing the Vulnerability of Public Water Systems to Droughts with an Integrated Remote Sensing and Social Sensing Approach</t>
  </si>
  <si>
    <t>water supply</t>
  </si>
  <si>
    <t>hydrology</t>
  </si>
  <si>
    <t>Ruopu Li</t>
  </si>
  <si>
    <t>Southern Illinois University at Carbondale</t>
  </si>
  <si>
    <t>drought</t>
  </si>
  <si>
    <t>Southern Illinois University</t>
  </si>
  <si>
    <t>IL-2022_Corush</t>
  </si>
  <si>
    <t>Causes and consequences of mollusk invasions throughout the Illinois River watershed</t>
  </si>
  <si>
    <t>104g - AIS</t>
  </si>
  <si>
    <t>Watershed and Ecosystem Function</t>
  </si>
  <si>
    <t>aquatic invasive species</t>
  </si>
  <si>
    <t>ecology</t>
  </si>
  <si>
    <t>Dr. Joel Corush</t>
  </si>
  <si>
    <t>Joel Corush</t>
  </si>
  <si>
    <t>IL_2022_Corush</t>
  </si>
  <si>
    <t>Causes and Consequences of Mollusk Invasions Throughout the Illinois River Watershed</t>
  </si>
  <si>
    <t>Watershed Function</t>
  </si>
  <si>
    <t>University of Illinois Urbana-Champaign</t>
  </si>
  <si>
    <t>IL_2021_Lampert</t>
  </si>
  <si>
    <t>Containment of Per- and Polyfluoroalkyl Substances to Protect Surface Water</t>
  </si>
  <si>
    <t>TOXIC SUBSTANCES</t>
  </si>
  <si>
    <t>SOLUTE TRANSPORT</t>
  </si>
  <si>
    <t>GROUNDWATER</t>
  </si>
  <si>
    <t>David Lampert</t>
  </si>
  <si>
    <t>IL_2024_Park</t>
  </si>
  <si>
    <t>Conversion of Per- and Polyfluoroalkyl Substances (PFAS) to Valuable Chemicals via Electrochemical Destruction Process</t>
  </si>
  <si>
    <t>Water-Related Hazards</t>
  </si>
  <si>
    <t>PFAs</t>
  </si>
  <si>
    <t>methods</t>
  </si>
  <si>
    <t>Jung Hyun Park</t>
  </si>
  <si>
    <t>Illinois Sustainable Technology Center</t>
  </si>
  <si>
    <t>IL_2023_Su</t>
  </si>
  <si>
    <t>Development of Next-Generation Electrochemical Systems for Short-Chain PFAS Removal and Remediation</t>
  </si>
  <si>
    <t>Water Technology and Innovation</t>
  </si>
  <si>
    <t>treatment</t>
  </si>
  <si>
    <t>toxic substances</t>
  </si>
  <si>
    <t>Xiao Su</t>
  </si>
  <si>
    <t>Development of next-generation electrochemical systems for short-chain PFAS removal and remediation.</t>
  </si>
  <si>
    <t>IL-2022_Lin_CF</t>
  </si>
  <si>
    <t>Development of testing of a subsurface energy transport package for MODFLOW</t>
  </si>
  <si>
    <t>Coordination Grant</t>
  </si>
  <si>
    <t>models</t>
  </si>
  <si>
    <t>groundwater</t>
  </si>
  <si>
    <t>Dr. Yu-Feng Lin</t>
  </si>
  <si>
    <t>Development of Testing of a Subsurface Energy Transport Package for MODFLOW</t>
  </si>
  <si>
    <t>Yu-Feng Lin</t>
  </si>
  <si>
    <t>IL_2021_Kim</t>
  </si>
  <si>
    <t>Efficacious, recyclable, and low-cost inorganic adsorbent to remove harmful PFAs compounds in aqueous matrics</t>
  </si>
  <si>
    <t>TREATMENT</t>
  </si>
  <si>
    <t>WATER QUALITY</t>
  </si>
  <si>
    <t>Jaemin Kim</t>
  </si>
  <si>
    <t>IL-2021_Tinoco</t>
  </si>
  <si>
    <t>Enemy of my enemy? Ecohydraulic assessment of interactions of multiple invasive species in the Upper Mississippi River Basin</t>
  </si>
  <si>
    <t>Dr. Rafael Tinoco</t>
  </si>
  <si>
    <t>Enemy of My Enemy?: Ecohydraulic Assessment of Interactions of Multiple Invasive Species in the Upper Mississippi River Basin</t>
  </si>
  <si>
    <t>Rafael Omar Tinoco Lopez</t>
  </si>
  <si>
    <t>IL_2021_Tinoco</t>
  </si>
  <si>
    <t>Tinoco Lopez, Rafael Omar</t>
  </si>
  <si>
    <t>IL_2024_Li</t>
  </si>
  <si>
    <t>Enhancing Field-scale Drainage Mapping Through Geospatial Artificial Intelligence</t>
  </si>
  <si>
    <t>IL-2022_Rhoads</t>
  </si>
  <si>
    <t>Evaluating Sources of Fine Sediment to Headwater Streams in Intensively Managed Agricultural Landscapes of Illinois</t>
  </si>
  <si>
    <t>sediments</t>
  </si>
  <si>
    <t>geochemical processes</t>
  </si>
  <si>
    <t>Dr. Bruce Rhoads</t>
  </si>
  <si>
    <t>IL_2023_Prada</t>
  </si>
  <si>
    <t>Fast and Energy-Efficient Destruction of PFAS compounds with Piezoelectric Formulations on Aqueous Sorbents (FEED-PFAS)</t>
  </si>
  <si>
    <t>Andres Prada</t>
  </si>
  <si>
    <t>Fast and Energy-Efficient Destruction of PFAS Compounds with Piezoelectric Formulations on Aqueous Sorbents (FEED-PFAS)</t>
  </si>
  <si>
    <t>IL_2021_Rhoads</t>
  </si>
  <si>
    <t>Floodplain morphology, floodplain inundation, and riparian ecology in the context of the changing hydrology of rivers in Illinois</t>
  </si>
  <si>
    <t>Water-Related Hazards and Climate Variability</t>
  </si>
  <si>
    <t>GEOMORPOLOGICAL PROCESSES</t>
  </si>
  <si>
    <t>FLOODS</t>
  </si>
  <si>
    <t>HYDROLOGY</t>
  </si>
  <si>
    <t>Bruce Rhoads</t>
  </si>
  <si>
    <t>IL-2022_Parkos</t>
  </si>
  <si>
    <t>Habitat selection of juvenile black carp and associated predatory effects on native and non-native bivalves</t>
  </si>
  <si>
    <t>Dr. Joseph J. Parkos III</t>
  </si>
  <si>
    <t>Joseph J. Parkos III</t>
  </si>
  <si>
    <t>IL_2022_Parkos</t>
  </si>
  <si>
    <t>Habitat Selection of Juvenile Black Carp and Associated Predatory Effects on Native and Non-native Bivalves</t>
  </si>
  <si>
    <t>IL_2023_Taylor</t>
  </si>
  <si>
    <t>Land use impacts on environmental quality and aquatic biodiversity in the Vermillion River drainage, Illinois</t>
  </si>
  <si>
    <t>Caitlin Bloomer (previously Christopher Taylor)</t>
  </si>
  <si>
    <t>Land Use Impacts on Environmental Quality and Aquatic Biodiversity in the Vermillion River Drainage, Illinois</t>
  </si>
  <si>
    <t>Caitlin Bloomer</t>
  </si>
  <si>
    <t>IL-2022_Cáceres</t>
  </si>
  <si>
    <t>Measuring the effect of flood pulses on ecosystem function in lakes created by mining (Kickapoo State Recreation Area)</t>
  </si>
  <si>
    <t>nonpoint pollution</t>
  </si>
  <si>
    <t>Dr. Carla Cáceres</t>
  </si>
  <si>
    <t>IL-2022_Lampert_G</t>
  </si>
  <si>
    <t>PFAS transport from contaminated areas to surface waters</t>
  </si>
  <si>
    <t>104g - PFAS</t>
  </si>
  <si>
    <t>solute transport</t>
  </si>
  <si>
    <t>IL_2022_Lampert_G</t>
  </si>
  <si>
    <t>PFAS Transport from Contaminated Areas to Surface Waters</t>
  </si>
  <si>
    <t>IL-2022_Tartakovsky</t>
  </si>
  <si>
    <t>Physics-informed machine learning for parameter estimation and surrogate modeling</t>
  </si>
  <si>
    <t>Dr. Alexandre Tartakovsky</t>
  </si>
  <si>
    <t>Alexandre M Tartakovsky</t>
  </si>
  <si>
    <t>IL_2022_Tartakovsky</t>
  </si>
  <si>
    <t>Physics-Informed Machine Learning for Parameter Estimation and Surrogate Modeling</t>
  </si>
  <si>
    <t>Alex Tartakovsky</t>
  </si>
  <si>
    <t>IL_2024_Stillwell</t>
  </si>
  <si>
    <t>Quantifying Virtual Water Transfers from Hydropower Generation under Climate Variability</t>
  </si>
  <si>
    <t>Water Policy, Planning, and Socioeconomics</t>
  </si>
  <si>
    <t>management and planning</t>
  </si>
  <si>
    <t>IL_2021_Meyer</t>
  </si>
  <si>
    <t>Regenerative Agriculture and the Human Health Nexus in the age of Climate Change</t>
  </si>
  <si>
    <t>AGRICULTURE</t>
  </si>
  <si>
    <t>EDUCATION</t>
  </si>
  <si>
    <t>METHODS</t>
  </si>
  <si>
    <t>Erin Meyer</t>
  </si>
  <si>
    <t>IL_2021_Wang</t>
  </si>
  <si>
    <t>Triboelectric devices for water motion energy harvesting and self-powered sensing</t>
  </si>
  <si>
    <t>Yi-Cheng Wang</t>
  </si>
  <si>
    <t>IL_2024_Sloan</t>
  </si>
  <si>
    <t>Using Continuous Water Quality Monitoring Combined with Stratified Sampling to Assess the Presence of Emerging Contaminants in the Upper Illinois River</t>
  </si>
  <si>
    <t>wetlands</t>
  </si>
  <si>
    <t>John J Sloan</t>
  </si>
  <si>
    <t>National Great Rivers Research &amp; Education Center</t>
  </si>
  <si>
    <t>2020IL103AIS</t>
  </si>
  <si>
    <t>Water quality as a deterrent to the movement of invasive fishes in the Illinois Waterway: Implications for the Upper Mississippi Basin</t>
  </si>
  <si>
    <t>Dr. Cory Suski</t>
  </si>
  <si>
    <t>Water Quality as a Deterrent to the Movement of Invasive Fishes in the Illinois Waterway: Implications for the Upper Mississippi Basin</t>
  </si>
  <si>
    <t>Cory Suski</t>
  </si>
  <si>
    <t>Product Type</t>
  </si>
  <si>
    <t>Product Citation</t>
  </si>
  <si>
    <t>DOI / Link</t>
  </si>
  <si>
    <t>Year of Publication</t>
  </si>
  <si>
    <t>Product Stage</t>
  </si>
  <si>
    <t>Student Co-Authors</t>
  </si>
  <si>
    <t>USGS Staff Co-Authors</t>
  </si>
  <si>
    <t>Product Comments</t>
  </si>
  <si>
    <t>Thesis/Dissertation</t>
  </si>
  <si>
    <t>Hastie, Allisa G. (2022). Opportunities for Non-Potable Water Reuse in the United States based on a Supply-Demand Assessment and Review of State Policies. M.S. thesis, University of Illinois Urbana-Champaign.</t>
  </si>
  <si>
    <t>Not yet available.</t>
  </si>
  <si>
    <t>Journal Article</t>
  </si>
  <si>
    <t>Hastie, Allisa G., Victoria V. Otrubina, and Ashlynn S. Stillwell. (2022). "Lack of Clarity Around Policies, Data Management, and Infrastructure May Hinder Efficient Use of Reclaimed Water Resources in the United States." ES&amp;T Water, accepted.</t>
  </si>
  <si>
    <t>Journal Article or Report In-Prep</t>
  </si>
  <si>
    <t>Hastie, Allisa G., Victoria V. Otrubina, and Ashlynn S. Stillwell. (2022). "Identifying Opportunities for Non-potable Water Reuse Based on Potential Supplies and Demands in the United States." ES&amp;T Water, in revision.</t>
  </si>
  <si>
    <t>Akinde, Fisayo Akindele. (2025). Assessing the Vulnerability of Public Water Systems to Droughts Through Integrated Hydrological Modeling, Remote Sensing, and Social Sensing. Thesis no. 3383.</t>
  </si>
  <si>
    <t>https://opensiuc.lib.siu.edu/theses/3383/</t>
  </si>
  <si>
    <t>One paper is in the final stage of being reviewed.</t>
  </si>
  <si>
    <t>Genetic variation in an invasive clam (Form B: Corbicula largillierti) across a longitudinal stream gradient in Illinois, USA.</t>
  </si>
  <si>
    <t>inProgress</t>
  </si>
  <si>
    <t>Patterns of ichthyofauna diversity as a response to mollusk invasions</t>
  </si>
  <si>
    <t>We are currently analyzing our final data set and will start preparing a manuscript for this portion of the project after data analysis.We will also have a 3rd paper lead by a Ph.D student based off of our key finding.</t>
  </si>
  <si>
    <t>Tracking the spread of invasive mollusks in the Illinois River watershed.</t>
  </si>
  <si>
    <t>Patterns of ichthyofauna diversity in the illinois River and the response to mollusk invasions.</t>
  </si>
  <si>
    <t>Analysis of a passive sampling device to assess the behavior of PFAS compounds in sediments</t>
  </si>
  <si>
    <t xml:space="preserve">Per- and polyfluoroalkyl substances fate and transport in sediments, sand, and adsorbent media </t>
  </si>
  <si>
    <t>Anaira Román Santiago, Adrija Dutta, Jhen-Cih Wu, Song Yin, Ye Won Lee, Chia-Hung Hou, Diwakar Shukla, Xiao Su, Investigating the Structure–Function Relationships of Fluorinated Interfaces for PFAS Capture and Electrochemically-Mediated Release, Volume 35, Issue 36, September 4, 2025, 2502317.</t>
  </si>
  <si>
    <t>https://doi.org/10.1002/adfm.202502317</t>
  </si>
  <si>
    <t>N. Kim, A. Aguda, C. Kim, and X. Su, Integrating redox-electrodialysis and electrosorption for the removal of ultra-short- to long-chain PFAS, Nature Communications, 15 (2024), 8321.</t>
  </si>
  <si>
    <t>https://doi.org/10.1038/s41467-024-52630-w</t>
  </si>
  <si>
    <t>Tool</t>
  </si>
  <si>
    <t>MODFLOW 6: USGS Modular Hydrologic Model (Version 6.5.0).</t>
  </si>
  <si>
    <t>https://www.usgs.gov/software/modflow-6-usgs-modular-hydrologic-model</t>
  </si>
  <si>
    <t>A new groundwater energy transport model for the MODFLOW 6 hydrologic simulator</t>
  </si>
  <si>
    <t>Benchmark MODFLOW 6 GWE model using 1D analytical solution of two-layer Stallman in unsaturated zone</t>
  </si>
  <si>
    <t>We are currently finalizing our work and preparing a journal publication as well as a patent.</t>
  </si>
  <si>
    <t>You, H., &amp; Tinoco, R. O. (2023). Turbulent coherent flow structures to predict the behavior of particles with low to intermediate Stokes number between submerged obstacles in streams. Water Resources Research, 59, e2022WR032439.</t>
  </si>
  <si>
    <t>https://doi.org/10.1029/2022WR032439</t>
  </si>
  <si>
    <t>You, H., &amp; Tinoco, R. O. (2022). Prediction model to compute the capture of drifting particles through in-stream obstacles.</t>
  </si>
  <si>
    <t>Conference Proceedings Paper (not abstract)</t>
  </si>
  <si>
    <t>You, H. &amp; Tinoco, R.O. (2022). Transport and capture of neutrally buoyant particles in streams: Investigating the effect of obstacle configuration.</t>
  </si>
  <si>
    <t>In Proceedings of 39th IAHR World Congress, Granada, Spain 2022</t>
  </si>
  <si>
    <t>complete but no weblink</t>
  </si>
  <si>
    <t xml:space="preserve">You, H., and Tinoco, R. O. Turbulent coherent flow structures to predict the behavior of particles with low to intermediate Stokes number between submerged obstacles in streams. Water Resources Research, 59 (2023), e2022WR032439. </t>
  </si>
  <si>
    <t>You, H., and Tinoco, R. O. Transport and capture of neutrally buoyant particles in streams: Investigating the effect of obstacle configuration. In Proceedings of 39th IAHR World Congress, Granada, Spain, 2022.</t>
  </si>
  <si>
    <t>https://doi.org/10.3850/IAHR-39WC252171192022349</t>
  </si>
  <si>
    <t>You, Hojung. Analysis of the Effects of Coherent Flow Structures on the Transport of Particles Around Submerged Obstacles in Streams, PhD Dissertation, University of Illinois Urbana-Champaign.</t>
  </si>
  <si>
    <t>You, H., and Tinoco, R.O. Characterization of porous in-stream structures to assess their implications on sediment transport, submitted to Journal of Geophysical Research: Earth Surface</t>
  </si>
  <si>
    <t>submitted/inReview</t>
  </si>
  <si>
    <t>You H &amp; Tinoco R.O. Transport of fish eggs above submerged obstacles in streams: The effect of egg properties, obstacle submergence ratio and gap length</t>
  </si>
  <si>
    <t>inRevision</t>
  </si>
  <si>
    <t>You, Hojung (2024). Analysis of the Effects of Coherent Flow Structures on the Transport of Particles Around Submerged Obstacles in Streams. PhD Dissertation, University of Illinois at Urbana-Champaign.</t>
  </si>
  <si>
    <t>https://hdl.handle.net/2142/125701</t>
  </si>
  <si>
    <t>You, H. and Tinoco, R.O., 2025. Characterization of porous in‐stream structures to assess their implications on flow dynamics and sediment transport. Journal of Geophysical Research: Earth Surface, 130(3), p.e2024JF007861.</t>
  </si>
  <si>
    <t>https://doi.org/10.1029/2024JF007861</t>
  </si>
  <si>
    <t>Akinde, Fisayo Akindele. (2025). Assessing the Vulnerability of Public Water Systems to Droughts Through Integrated Hydrological Modeling, Remote Sensing, and Social Sensing. Theses no. 3383.</t>
  </si>
  <si>
    <t xml:space="preserve">Prada AF, Kim J, Zhao L, Li F, Green L, Scott JW (2025) Using piezoelectric mechanochemistry for solvent-free, nonthermal defluorination of perfluoroalkyl substances (PFAS) contained in carbon-based sorbents. RSC Mechanochemistry. </t>
  </si>
  <si>
    <t>https://doi.org/10.1039/D5MR00111K</t>
  </si>
  <si>
    <t>Dataset</t>
  </si>
  <si>
    <t>Manwatkar, Prashik. Per- and Polyfluoroalkyl Substances Fate and Transport in Sediments, Sand, and Adsorbent Media, Thesis, Illinois Institute of Technology.</t>
  </si>
  <si>
    <t>https://repository.iit.edu/islandora/object/islandora%3A1024904</t>
  </si>
  <si>
    <t>The regulatory void of PFAS and contaminated sites - Submitted to Journal of Contemporary Water Research and Education</t>
  </si>
  <si>
    <t>Tekogul, I., Lampert, D.J., Mohammadi, F., Sandhu, A., and Shapiro, M., The regulatory void in PFAS cleanup and remediation. Journal of Contemporary Water Research and Education, 182:99-114.</t>
  </si>
  <si>
    <t>https://opensiuc.lib.siu.edu/cgi/viewcontent.cgi?article=1550&amp;context=jcwre</t>
  </si>
  <si>
    <t>Mohammadi, F., Zahner, A., Sandhu, A., and Lampert, D.J. Analysis of per-polyfluoroalkyl substances (PFAS) in biological, aqueous, and sediment samples. Submitted to Environmental Management.</t>
  </si>
  <si>
    <t>Zonga, Y., Heb, Q.-Z., &amp; Tartakovsky, A. M. (2023). Improved training of physics-informed neural networks for parabolic differential equations with sharply perturbed initial conditions. Computer Methods in Applied Mechanics and Engineering 414 (2023), 116125.</t>
  </si>
  <si>
    <t>https://doi.org/10.1016/j.cma.2023.116125</t>
  </si>
  <si>
    <t>Yeung, Y.-H., Barajas-Solano, D. A., &amp; Tartakovsky, A. M. (2023). Gaussian process regression and conditional Karhunen-Loéve models for data assimilation in inverse problems. Journal of Computational Physics.</t>
  </si>
  <si>
    <t>https://arxiv.org/abs/2301.11279</t>
  </si>
  <si>
    <t>Tartakovsky, A., Wang, Y., McCreight, J., Hughes, J., Fienen, M. Karhunen-Loeve–Deep Neural Network surrogate models for forward modeling and parameter estimation in groundwater models.</t>
  </si>
  <si>
    <t>Physics-informed neural network (PINN) code for parameter estimation in groundwater models using pressure and tracer concentration measurements.</t>
  </si>
  <si>
    <t xml:space="preserve"> https://doi.org/10.1016/j.cma.2023.116125</t>
  </si>
  <si>
    <t>CKLEMAP code for parameter estimation in large-scale groundwater models based on the reduced-order conditional Karhunen-Loeve representation of parameter.</t>
  </si>
  <si>
    <t xml:space="preserve"> https://arxiv.org/abs/2301.11279</t>
  </si>
  <si>
    <t>KL-DNN code for surrogate modeling and parameter estimation in groundwater models based on the reduced-order Karhunen-Loeve representation of parameter and hydraulic head fields and a deep neural network map between the reduced spaces of parameters (e.g., conductivity) and hydraulic head.</t>
  </si>
  <si>
    <t>This code is described in the “Karhunen-Loeve–Deep Neural Network surrogate models for forward modeling and parameter estimation in groundwater models.”</t>
  </si>
  <si>
    <t>Yifei Zonga, QiZhi He, and Alexandre M. Tartakovsky. Improved training of physics-informed neural networks for parabolic differential equations with sharply perturbed initial conditions, Computer Methods in Applied Mechanics and Engineering, 414 (2023), 116125.</t>
  </si>
  <si>
    <t xml:space="preserve">Yu-Hong Yeung, David A. Barajas-Solano, and Alexandre M. Tartakovsky. Gaussian process regression and conditional Karhunen-Loève models for data assimilation in inverse problems. Journal of Computational Physics, 502 (2024), 112788. </t>
  </si>
  <si>
    <t>https://www.sciencedirect.com/science/article/pii/S0021999124000378</t>
  </si>
  <si>
    <t xml:space="preserve">Yuanzhe Wang, Yifei Zong, James L. McCreight, Joseph D. Hughes, and Alexandre M. Tartakovsky. Bayesian reduced-order deep learning surrogate model for dynamic systems described by partial differential equations. Computer Methods in Applied Mechanics and Engineering, 429 (2024), 117147. </t>
  </si>
  <si>
    <t>https://doi.org/10.1016/j.cma.2024.117147</t>
  </si>
  <si>
    <t>Software tool: Physics-Informed Neural Network (PINN) code for parameter estimation in groundwater models using pressure and tracer concentration measurements.</t>
  </si>
  <si>
    <t>described in: https://doi.org/10.1016/j.cma.2023.116125</t>
  </si>
  <si>
    <t>Software tool: CKLEMAP code for parameter estimation in large-scale groundwater models based on the reduced-order conditional Karhunen–Loève representation of parameter fields.</t>
  </si>
  <si>
    <t>This code is described in the manuscript available at https://arxiv.org/abs/2301.11279</t>
  </si>
  <si>
    <t>Yuanzhe Wang, Yifei Zong, James L. McCreight, Joseph D. Hughes, Michael Fienen, Alexandre M. Tartakovsky. Karhunen–Loève deep learning method for surrogate modeling  and approximate Bayesian parameter estimation, submitted to Advances in Water Resources</t>
  </si>
  <si>
    <t xml:space="preserve">Software tool: KL-DNN code for surrogate modeling and parameter estimation in groundwater models, based on the reduced-order Karhunen–Loève representation of parameter and hydraulic head fields and a deep neural network map between the reduced spaces of parameters (e.g., conductivity) and hydraulic head </t>
  </si>
  <si>
    <t>This code is described in the paper “Karhunen–Loève deep neural network surrogate models for forward modeling and parameter estimation in groundwater models,” which is currently in preparation.</t>
  </si>
  <si>
    <t>Yuanzhe Wang, Yifei Zong, James L. McCreight, Joseph D. Hughes, Michael Fienen, Alexandre M. Tartakovsky, Karhunen–Loève deep learning method for surrogate modeling and approximate Bayesian parameter estimation, Advances in Water Resources, Volume 203, 105024.</t>
  </si>
  <si>
    <t>https://doi.org/10.1016/j.advwatres.2025.105024</t>
  </si>
  <si>
    <t>Yuanzhe Wang, James L. McCreight, Joseph D. Hughes, and Alexandre M. Tartakovsky. Total uncertainty quantification in inverse solutions with deep learning surrogate models. Journal of Computational Physics, 541:114315, 2025</t>
  </si>
  <si>
    <t>https://doi.org/10.1016/j.jcp.2025.114315</t>
  </si>
  <si>
    <t>Jice Zeng, Yuanzhe Wang, Alexandre M. Tartakovsky, and David A. Barajas-Solano. Solving high-dimensional inverse problems using amortized likelihood-free inference with noisy and incomplete data. Computer Methods in Applied Mechanics and Engineering, 443:118064, 2025.</t>
  </si>
  <si>
    <t>https://doi.org/10.1016/j.cma.2025.118064</t>
  </si>
  <si>
    <t>Nugent, Jennifer Cathryn. (2025). Spatial and Temporal Variation in Virtual Water Transfers on the U.S. Electric Grid. Ph.D. dissertation. University of Illinois Urbana-Champaign.</t>
  </si>
  <si>
    <t>https://hdl.handle.net/2142/129607</t>
  </si>
  <si>
    <t>Nugent, Jenni, Aaron Leshuk-Morita, and Ashlynn S. Stillwell. (2025). Historical drought impacts on hydroelectric generation and virtual water transfers. In preparation.</t>
  </si>
  <si>
    <t>Material for this manuscript was published in Jenni's dissertation as a chapter that we are reworking into a journal submission, in collaboration with a former undergraduate researcher (Aaron Leshuk-Morita).</t>
  </si>
  <si>
    <t>Davendra Ramkumar, Aileen Marty, Japhia Ramkumar, Holly Rosencranz, Radhika Vedantham, Modan Goldman, Erin Meyer, Jasia Steinmetz, Amy Weckle, Kelly Bloedorn, and Carl Rosier. Food for thought: Making the case for food produced via regenerative agriculture in the battle against non-communicable chronic diseases (NCDs). One Health, 18 (2024), 100734.</t>
  </si>
  <si>
    <t>https://doi.org/10.1016/j.onehlt.2024.100734</t>
  </si>
  <si>
    <t>Zhenhui Jin, Fujunzhu Zhao, Yanlin Lei, Yi-Cheng Wang, Hydrogel-based triboelectric devices for energy-harvesting and wearable sensing applications, Nano Energy, 95, 2022, 106988.</t>
  </si>
  <si>
    <t>https://doi.org/10.1016/j.nanoen.2022.106988</t>
  </si>
  <si>
    <t>Amy E. Schneider, A. J. Esbaugh, Aaron R. Cupp, and C. D. Suski. Silver carp experience metabolic and behavioral changes when exposed to water from the Chicago Area Waterway. Scientific Reports, 14 (2024), 24689.</t>
  </si>
  <si>
    <t>DOI:10.1038/S41598-024-71442-Y</t>
  </si>
  <si>
    <t xml:space="preserve">Schneider, Amy, and Suski, Cory. Dataset: Molecular and physical disturbance of silver carp along the Illinois River gradient. University of Illinois at Urbana-Champaign. </t>
  </si>
  <si>
    <t>https://doi.org/10.13012/B2IDB-2785696_V1</t>
  </si>
  <si>
    <t xml:space="preserve">  This is a data set posted to the Illinois Data bank with the data from one of the studies in this award.</t>
  </si>
  <si>
    <t>Schneider, Amy, and Suski, Cory. Dataset: Acute exposure to water from the Chicago Area Waterway System induces molecular indices of stress and disturbance in silver carp: Implications for deterrence to range expansion. University of Illinois at Urbana-Champaign.</t>
  </si>
  <si>
    <t>https://doi.org/10.13012/B2IDB-0347483_V1</t>
  </si>
  <si>
    <t>This is a data set posted to the Illinois Data bank with the data from one of the studies in this award.</t>
  </si>
  <si>
    <t>Schneider, Amy, Suski, Cory, and Esbaugh, Andrew. Dataset: Silver carp experience metabolic and behavioral changes when exposed to water from the Chicago Area Waterway: Implications for upstream movement. University of Illinois at Urbana-Champaign.</t>
  </si>
  <si>
    <t>https://doi.org/10.13012/B2IDB-0037727_V1</t>
  </si>
  <si>
    <t>Schneider, A. E., A. J. Bennett, C. E. Dennis III, A. J. Esbaugh, J. T. Lamer and C. D. Suski. (provisionally accepted).  Acute exposure to water from the Chicago Area Waterway System induces molecular indices of stress and disturbance in silver carp: Implications for deterrence to range expansion. Biological Invasions (2025) 27:178.</t>
  </si>
  <si>
    <t>https://doi.org/10.1007/s10530-025-03633-1</t>
  </si>
  <si>
    <t>Suski, Cory. Fish behavior and metabolism. GitHub code.</t>
  </si>
  <si>
    <t>https://github.com/cory-suski/fish-behavior-and-metabolism</t>
  </si>
  <si>
    <t>Suski, Cory. Histology and visual assessment. GitHub code.</t>
  </si>
  <si>
    <t>https://github.com/cory-suski/Histology-and-visual-assessment-code</t>
  </si>
  <si>
    <t>Suski, Cory. Gene expression. GitHub code.</t>
  </si>
  <si>
    <t>https://github.com/cory-suski/Gene-expression-code</t>
  </si>
  <si>
    <t>Award, Achievement, or Grant</t>
  </si>
  <si>
    <t>Award Source Organization</t>
  </si>
  <si>
    <t>Award Description</t>
  </si>
  <si>
    <t>Year Awarded</t>
  </si>
  <si>
    <t>Month Awarded</t>
  </si>
  <si>
    <t>Award Recipient Names</t>
  </si>
  <si>
    <t>Award Recipient Roles</t>
  </si>
  <si>
    <t>Monetary Benefit of Award</t>
  </si>
  <si>
    <t>Award Comments</t>
  </si>
  <si>
    <t>Additional USGS 104g grant ($250,000, expected December 2022) that follows on this research</t>
  </si>
  <si>
    <t>Additional USEPA P3 grants ($100,000 awarded 10/2022) that follow on this research</t>
  </si>
  <si>
    <t>Award</t>
  </si>
  <si>
    <t>American Chemical Society</t>
  </si>
  <si>
    <t>The Satinder Ahuja Award for Young Investigators in Separation Science</t>
  </si>
  <si>
    <t>July</t>
  </si>
  <si>
    <t>CO-PI</t>
  </si>
  <si>
    <t>National Science Foundation</t>
  </si>
  <si>
    <t>Competitive Research Experience for Undergraduates Award</t>
  </si>
  <si>
    <t>April</t>
  </si>
  <si>
    <t>Anne Cooke</t>
  </si>
  <si>
    <t>Student</t>
  </si>
  <si>
    <t>Undergraduate student assisted with field work over the summer in part to try to accomplish project goals in absence of the PhD student whose research was supposed to be supported by project funds</t>
  </si>
  <si>
    <t>Grant</t>
  </si>
  <si>
    <t>NOAA/Illinois Indiana Sea Grant</t>
  </si>
  <si>
    <t>Lampert, D.J., Sandhu, A., and Shapiro, M. “Bioaccumulation assessment of PFAS from contaminated sediments.” National Oceanic and Atmospheric Administration, Illinois-Indiana Sea Grant Biennial Research Program.</t>
  </si>
  <si>
    <t>October</t>
  </si>
  <si>
    <t>PI</t>
  </si>
  <si>
    <t>Illinois Muskie Tournament Trail Fishery Scholarship</t>
  </si>
  <si>
    <t>Awarded to undergraduate or graduate students studying fisheries</t>
  </si>
  <si>
    <t>December</t>
  </si>
  <si>
    <t>Amy Schneider</t>
  </si>
  <si>
    <t>Illinois AFS</t>
  </si>
  <si>
    <t>Larimore Student Research Grant</t>
  </si>
  <si>
    <t>For graduate students attending an Illinois college or university to promote research in Illinois fisheries</t>
  </si>
  <si>
    <t>UIUC Department of Natural Resources and Environmental Sciences</t>
  </si>
  <si>
    <t>NRES Graduate Research Improvement Grant</t>
  </si>
  <si>
    <t>For outstanding UIUC NRES graduate students conducting research in the department</t>
  </si>
  <si>
    <t>Illinois AFS Travel Grant</t>
  </si>
  <si>
    <t>February</t>
  </si>
  <si>
    <t>For graduate students attending an Illinois college or university to help provide travel to the Illinois AFS conference</t>
  </si>
  <si>
    <t>University of Illinois Urbana-Champaign Department of Natural Resources and Environmental Sciences</t>
  </si>
  <si>
    <t>Graduate student award for research excellence</t>
  </si>
  <si>
    <t>Amy is a graduate student solely supported through this 104(g) award.</t>
  </si>
  <si>
    <t>Best Student Poster Presentation</t>
  </si>
  <si>
    <t>Award for presentation of research related to this 104(g) project</t>
  </si>
  <si>
    <t>American Academy for the Advancement of Science</t>
  </si>
  <si>
    <t>Elected Fellow recognizing excellence in research with an emphasis on barriers controlling the spread of invasive species</t>
  </si>
  <si>
    <t>Undergraduates Supported by WRRA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</si>
</sst>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 x14ac:knownFonts="1">
    <font>
      <sz val="11"/>
      <color theme="1"/>
      <name val="Aptos Narrow"/>
      <family val="2"/>
      <scheme val="minor"/>
    </font>
    <font>
      <b/>
      <sz val="11"/>
      <color theme="1"/>
      <name val="Aptos Narrow"/>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s>
  <borders count="3">
    <border>
      <left/>
      <right/>
      <top/>
      <bottom/>
      <diagonal/>
    </border>
    <border>
      <left style="thin">
        <color indexed="64"/>
      </left>
      <right style="thin">
        <color indexed="64"/>
      </right>
      <top/>
      <bottom/>
      <diagonal/>
    </border>
    <border>
      <left style="thin">
        <color indexed="64"/>
      </left>
      <right style="thin">
        <color indexed="64"/>
      </right>
      <top style="thick">
        <color indexed="64"/>
      </top>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center" wrapText="1"/>
    </xf>
    <xf numFmtId="164" fontId="1" fillId="0" borderId="1" xfId="0" applyNumberFormat="1" applyFont="1" applyBorder="1" applyAlignment="1">
      <alignment horizontal="center" vertical="center" wrapText="1"/>
    </xf>
    <xf numFmtId="0" fontId="0" fillId="2" borderId="2" xfId="0" applyFill="1" applyBorder="1" applyAlignment="1">
      <alignment horizontal="left" vertical="top" wrapText="1"/>
    </xf>
    <xf numFmtId="164" fontId="0" fillId="2" borderId="2" xfId="0" applyNumberFormat="1" applyFill="1" applyBorder="1" applyAlignment="1">
      <alignment horizontal="left" vertical="top" wrapText="1"/>
    </xf>
    <xf numFmtId="0" fontId="0" fillId="3" borderId="2" xfId="0" applyFill="1" applyBorder="1" applyAlignment="1">
      <alignment horizontal="left" vertical="top" wrapText="1"/>
    </xf>
    <xf numFmtId="164" fontId="0" fillId="3" borderId="2" xfId="0" applyNumberFormat="1" applyFill="1" applyBorder="1" applyAlignment="1">
      <alignment horizontal="left" vertical="top" wrapText="1"/>
    </xf>
    <xf numFmtId="0" fontId="0" fillId="4" borderId="2" xfId="0" applyFill="1" applyBorder="1" applyAlignment="1">
      <alignment horizontal="left" vertical="top" wrapText="1"/>
    </xf>
    <xf numFmtId="164" fontId="0" fillId="4" borderId="2" xfId="0" applyNumberFormat="1" applyFill="1" applyBorder="1" applyAlignment="1">
      <alignment horizontal="left" vertical="top" wrapText="1"/>
    </xf>
    <xf numFmtId="0" fontId="0" fillId="5" borderId="2" xfId="0" applyFill="1" applyBorder="1" applyAlignment="1">
      <alignment horizontal="left" vertical="top" wrapText="1"/>
    </xf>
    <xf numFmtId="164" fontId="0" fillId="5" borderId="2" xfId="0" applyNumberFormat="1" applyFill="1" applyBorder="1" applyAlignment="1">
      <alignment horizontal="left" vertical="top" wrapText="1"/>
    </xf>
    <xf numFmtId="0" fontId="0" fillId="6" borderId="2" xfId="0" applyFill="1" applyBorder="1" applyAlignment="1">
      <alignment horizontal="left" vertical="top" wrapText="1"/>
    </xf>
    <xf numFmtId="164" fontId="0" fillId="6" borderId="2" xfId="0" applyNumberFormat="1" applyFill="1" applyBorder="1" applyAlignment="1">
      <alignment horizontal="left" vertical="top" wrapText="1"/>
    </xf>
    <xf numFmtId="0" fontId="0" fillId="7" borderId="2" xfId="0" applyFill="1" applyBorder="1" applyAlignment="1">
      <alignment horizontal="left" vertical="top" wrapText="1"/>
    </xf>
    <xf numFmtId="164" fontId="0" fillId="7" borderId="2" xfId="0" applyNumberFormat="1" applyFill="1" applyBorder="1" applyAlignment="1">
      <alignment horizontal="left" vertical="top" wrapText="1"/>
    </xf>
    <xf numFmtId="0" fontId="0" fillId="4" borderId="1" xfId="0" applyFill="1" applyBorder="1" applyAlignment="1">
      <alignment horizontal="left" vertical="top" wrapText="1"/>
    </xf>
    <xf numFmtId="0" fontId="0" fillId="6" borderId="1" xfId="0" applyFill="1" applyBorder="1" applyAlignment="1">
      <alignment horizontal="left" vertical="top" wrapText="1"/>
    </xf>
    <xf numFmtId="0" fontId="0" fillId="7" borderId="1" xfId="0" applyFill="1" applyBorder="1" applyAlignment="1">
      <alignment horizontal="left" vertical="top" wrapText="1"/>
    </xf>
    <xf numFmtId="0" fontId="0" fillId="2" borderId="1" xfId="0" applyFill="1" applyBorder="1" applyAlignment="1">
      <alignment horizontal="left" vertical="top" wrapText="1"/>
    </xf>
    <xf numFmtId="0" fontId="0" fillId="3" borderId="1" xfId="0" applyFill="1" applyBorder="1" applyAlignment="1">
      <alignment horizontal="left" vertical="top" wrapText="1"/>
    </xf>
    <xf numFmtId="49" fontId="1" fillId="0" borderId="1" xfId="0" applyNumberFormat="1" applyFont="1" applyBorder="1" applyAlignment="1">
      <alignment horizontal="center" vertical="center" wrapText="1"/>
    </xf>
    <xf numFmtId="164" fontId="0" fillId="6" borderId="1" xfId="0" applyNumberFormat="1" applyFill="1" applyBorder="1" applyAlignment="1">
      <alignment horizontal="left" vertical="top" wrapText="1"/>
    </xf>
    <xf numFmtId="164" fontId="0" fillId="2" borderId="1" xfId="0" applyNumberFormat="1" applyFill="1" applyBorder="1" applyAlignment="1">
      <alignment horizontal="left" vertical="top" wrapText="1"/>
    </xf>
    <xf numFmtId="0" fontId="0" fillId="5"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916F1-1C3E-4382-935B-456934F86C22}">
  <dimension ref="A1:S43"/>
  <sheetViews>
    <sheetView tabSelected="1" workbookViewId="0">
      <pane xSplit="2" ySplit="1" topLeftCell="I2" activePane="bottomRight" state="frozen"/>
      <selection pane="topRight" activeCell="C1" sqref="C1"/>
      <selection pane="bottomLeft" activeCell="A2" sqref="A2"/>
      <selection pane="bottomRight" activeCell="U3" sqref="U3"/>
    </sheetView>
  </sheetViews>
  <sheetFormatPr defaultRowHeight="15" x14ac:dyDescent="0.25"/>
  <cols>
    <col min="1" max="1" width="10.28515625" customWidth="1"/>
    <col min="2" max="2" width="21.42578125" customWidth="1"/>
    <col min="3" max="3" width="36.7109375" customWidth="1"/>
    <col min="4" max="4" width="19.140625" customWidth="1"/>
    <col min="5" max="5" width="14.7109375" customWidth="1"/>
    <col min="6" max="6" width="17" customWidth="1"/>
    <col min="7" max="9" width="19.42578125" customWidth="1"/>
    <col min="10" max="10" width="18.42578125" customWidth="1"/>
    <col min="11" max="11" width="26" customWidth="1"/>
    <col min="12" max="12" width="14" customWidth="1"/>
    <col min="13" max="17" width="15.42578125" customWidth="1"/>
    <col min="19" max="19" width="9.7109375" customWidth="1"/>
  </cols>
  <sheetData>
    <row r="1" spans="1:19" ht="75.75" thickBot="1" x14ac:dyDescent="0.3">
      <c r="A1" s="1" t="s">
        <v>0</v>
      </c>
      <c r="B1" s="1" t="s">
        <v>1</v>
      </c>
      <c r="C1" s="1" t="s">
        <v>2</v>
      </c>
      <c r="D1" s="1" t="s">
        <v>3</v>
      </c>
      <c r="E1" s="2" t="s">
        <v>4</v>
      </c>
      <c r="F1" s="1" t="s">
        <v>5</v>
      </c>
      <c r="G1" s="1" t="s">
        <v>6</v>
      </c>
      <c r="H1" s="1" t="s">
        <v>7</v>
      </c>
      <c r="I1" s="1" t="s">
        <v>8</v>
      </c>
      <c r="J1" s="1" t="s">
        <v>9</v>
      </c>
      <c r="K1" s="1" t="s">
        <v>10</v>
      </c>
      <c r="L1" s="1" t="s">
        <v>11</v>
      </c>
      <c r="M1" s="1" t="s">
        <v>338</v>
      </c>
      <c r="N1" s="1" t="s">
        <v>12</v>
      </c>
      <c r="O1" s="1" t="s">
        <v>13</v>
      </c>
      <c r="P1" s="1" t="s">
        <v>14</v>
      </c>
      <c r="Q1" s="1" t="s">
        <v>15</v>
      </c>
      <c r="R1" s="1" t="s">
        <v>16</v>
      </c>
      <c r="S1" s="1" t="s">
        <v>17</v>
      </c>
    </row>
    <row r="2" spans="1:19" ht="46.5" thickTop="1" thickBot="1" x14ac:dyDescent="0.3">
      <c r="A2" s="3">
        <v>2022</v>
      </c>
      <c r="B2" s="3" t="s">
        <v>18</v>
      </c>
      <c r="C2" s="3" t="s">
        <v>19</v>
      </c>
      <c r="D2" s="3" t="s">
        <v>20</v>
      </c>
      <c r="E2" s="4">
        <v>10000</v>
      </c>
      <c r="F2" s="3" t="s">
        <v>21</v>
      </c>
      <c r="G2" s="3" t="s">
        <v>22</v>
      </c>
      <c r="H2" s="3" t="s">
        <v>23</v>
      </c>
      <c r="I2" s="3" t="s">
        <v>24</v>
      </c>
      <c r="J2" s="3" t="s">
        <v>25</v>
      </c>
      <c r="K2" s="3" t="s">
        <v>26</v>
      </c>
      <c r="L2" s="3">
        <f t="shared" ref="L2:L43" si="0">SUM(M2:Q2)</f>
        <v>4</v>
      </c>
      <c r="M2" s="3">
        <v>1</v>
      </c>
      <c r="N2" s="3">
        <v>0</v>
      </c>
      <c r="O2" s="3">
        <v>1</v>
      </c>
      <c r="P2" s="3">
        <v>0</v>
      </c>
      <c r="Q2" s="3">
        <v>2</v>
      </c>
      <c r="R2" s="3">
        <v>1</v>
      </c>
      <c r="S2" s="3">
        <v>9</v>
      </c>
    </row>
    <row r="3" spans="1:19" ht="76.5" thickTop="1" thickBot="1" x14ac:dyDescent="0.3">
      <c r="A3" s="5">
        <v>2022</v>
      </c>
      <c r="B3" s="5" t="s">
        <v>27</v>
      </c>
      <c r="C3" s="5" t="s">
        <v>28</v>
      </c>
      <c r="D3" s="5" t="s">
        <v>20</v>
      </c>
      <c r="E3" s="6">
        <v>20000</v>
      </c>
      <c r="F3" s="5" t="s">
        <v>29</v>
      </c>
      <c r="G3" s="5" t="s">
        <v>30</v>
      </c>
      <c r="H3" s="5" t="s">
        <v>31</v>
      </c>
      <c r="I3" s="5" t="s">
        <v>32</v>
      </c>
      <c r="J3" s="5" t="s">
        <v>33</v>
      </c>
      <c r="K3" s="5" t="s">
        <v>34</v>
      </c>
      <c r="L3" s="5">
        <f t="shared" si="0"/>
        <v>3</v>
      </c>
      <c r="M3" s="5">
        <v>1</v>
      </c>
      <c r="N3" s="5">
        <v>0</v>
      </c>
      <c r="O3" s="5">
        <v>2</v>
      </c>
      <c r="P3" s="5">
        <v>0</v>
      </c>
      <c r="Q3" s="5">
        <v>0</v>
      </c>
      <c r="R3" s="5">
        <v>2</v>
      </c>
      <c r="S3" s="5">
        <v>7</v>
      </c>
    </row>
    <row r="4" spans="1:19" ht="31.5" thickTop="1" thickBot="1" x14ac:dyDescent="0.3">
      <c r="A4" s="7">
        <v>2021</v>
      </c>
      <c r="B4" s="7" t="s">
        <v>35</v>
      </c>
      <c r="C4" s="7" t="s">
        <v>36</v>
      </c>
      <c r="D4" s="7" t="s">
        <v>20</v>
      </c>
      <c r="E4" s="8">
        <v>10000</v>
      </c>
      <c r="F4" s="7" t="s">
        <v>37</v>
      </c>
      <c r="G4" s="7" t="s">
        <v>38</v>
      </c>
      <c r="H4" s="7" t="s">
        <v>39</v>
      </c>
      <c r="I4" s="7" t="s">
        <v>40</v>
      </c>
      <c r="J4" s="7" t="s">
        <v>41</v>
      </c>
      <c r="K4" s="7"/>
      <c r="L4" s="7">
        <f t="shared" si="0"/>
        <v>2</v>
      </c>
      <c r="M4" s="7">
        <v>1</v>
      </c>
      <c r="N4" s="7">
        <v>1</v>
      </c>
      <c r="O4" s="7">
        <v>0</v>
      </c>
      <c r="P4" s="7">
        <v>0</v>
      </c>
      <c r="Q4" s="7">
        <v>0</v>
      </c>
      <c r="R4" s="7">
        <v>3</v>
      </c>
      <c r="S4" s="7">
        <v>1</v>
      </c>
    </row>
    <row r="5" spans="1:19" ht="61.5" thickTop="1" thickBot="1" x14ac:dyDescent="0.3">
      <c r="A5" s="9">
        <v>2023</v>
      </c>
      <c r="B5" s="9" t="s">
        <v>42</v>
      </c>
      <c r="C5" s="9" t="s">
        <v>43</v>
      </c>
      <c r="D5" s="9" t="s">
        <v>20</v>
      </c>
      <c r="E5" s="10">
        <v>15000</v>
      </c>
      <c r="F5" s="9" t="s">
        <v>37</v>
      </c>
      <c r="G5" s="9" t="s">
        <v>44</v>
      </c>
      <c r="H5" s="9" t="s">
        <v>45</v>
      </c>
      <c r="I5" s="9" t="s">
        <v>30</v>
      </c>
      <c r="J5" s="9" t="s">
        <v>46</v>
      </c>
      <c r="K5" s="9" t="s">
        <v>47</v>
      </c>
      <c r="L5" s="9">
        <f t="shared" si="0"/>
        <v>2</v>
      </c>
      <c r="M5" s="9">
        <v>0</v>
      </c>
      <c r="N5" s="9">
        <v>1</v>
      </c>
      <c r="O5" s="9">
        <v>0</v>
      </c>
      <c r="P5" s="9">
        <v>0</v>
      </c>
      <c r="Q5" s="9">
        <v>1</v>
      </c>
      <c r="R5" s="9">
        <v>4</v>
      </c>
      <c r="S5" s="9">
        <v>22</v>
      </c>
    </row>
    <row r="6" spans="1:19" ht="61.5" thickTop="1" thickBot="1" x14ac:dyDescent="0.3">
      <c r="A6" s="9">
        <v>2024</v>
      </c>
      <c r="B6" s="9" t="s">
        <v>42</v>
      </c>
      <c r="C6" s="9" t="s">
        <v>43</v>
      </c>
      <c r="D6" s="9" t="s">
        <v>20</v>
      </c>
      <c r="E6" s="10">
        <v>15000</v>
      </c>
      <c r="F6" s="9" t="s">
        <v>37</v>
      </c>
      <c r="G6" s="9" t="s">
        <v>44</v>
      </c>
      <c r="H6" s="9" t="s">
        <v>48</v>
      </c>
      <c r="I6" s="9" t="s">
        <v>45</v>
      </c>
      <c r="J6" s="9" t="s">
        <v>46</v>
      </c>
      <c r="K6" s="9" t="s">
        <v>49</v>
      </c>
      <c r="L6" s="9">
        <f t="shared" si="0"/>
        <v>2</v>
      </c>
      <c r="M6" s="9">
        <v>0</v>
      </c>
      <c r="N6" s="9">
        <v>1</v>
      </c>
      <c r="O6" s="9">
        <v>0</v>
      </c>
      <c r="P6" s="9">
        <v>0</v>
      </c>
      <c r="Q6" s="9">
        <v>1</v>
      </c>
      <c r="R6" s="9">
        <v>5</v>
      </c>
      <c r="S6" s="9">
        <v>35</v>
      </c>
    </row>
    <row r="7" spans="1:19" ht="46.5" thickTop="1" thickBot="1" x14ac:dyDescent="0.3">
      <c r="A7" s="11">
        <v>2022</v>
      </c>
      <c r="B7" s="11" t="s">
        <v>50</v>
      </c>
      <c r="C7" s="11" t="s">
        <v>51</v>
      </c>
      <c r="D7" s="11" t="s">
        <v>52</v>
      </c>
      <c r="E7" s="12">
        <v>300000</v>
      </c>
      <c r="F7" s="11" t="s">
        <v>53</v>
      </c>
      <c r="G7" s="11" t="s">
        <v>54</v>
      </c>
      <c r="H7" s="11" t="s">
        <v>24</v>
      </c>
      <c r="I7" s="11" t="s">
        <v>55</v>
      </c>
      <c r="J7" s="11" t="s">
        <v>56</v>
      </c>
      <c r="K7" s="11" t="s">
        <v>26</v>
      </c>
      <c r="L7" s="11">
        <f t="shared" si="0"/>
        <v>6</v>
      </c>
      <c r="M7" s="11">
        <v>0</v>
      </c>
      <c r="N7" s="11">
        <v>0</v>
      </c>
      <c r="O7" s="11">
        <v>1</v>
      </c>
      <c r="P7" s="11">
        <v>1</v>
      </c>
      <c r="Q7" s="11">
        <v>4</v>
      </c>
      <c r="R7" s="11">
        <v>6</v>
      </c>
      <c r="S7" s="11">
        <v>15</v>
      </c>
    </row>
    <row r="8" spans="1:19" ht="46.5" thickTop="1" thickBot="1" x14ac:dyDescent="0.3">
      <c r="A8" s="11">
        <v>2023</v>
      </c>
      <c r="B8" s="11" t="s">
        <v>50</v>
      </c>
      <c r="C8" s="11" t="s">
        <v>51</v>
      </c>
      <c r="D8" s="11" t="s">
        <v>52</v>
      </c>
      <c r="E8" s="12">
        <v>300000</v>
      </c>
      <c r="F8" s="11" t="s">
        <v>53</v>
      </c>
      <c r="G8" s="11" t="s">
        <v>54</v>
      </c>
      <c r="H8" s="11" t="s">
        <v>55</v>
      </c>
      <c r="I8" s="11" t="s">
        <v>24</v>
      </c>
      <c r="J8" s="11" t="s">
        <v>57</v>
      </c>
      <c r="K8" s="11" t="s">
        <v>26</v>
      </c>
      <c r="L8" s="11">
        <f t="shared" si="0"/>
        <v>10</v>
      </c>
      <c r="M8" s="11">
        <v>7</v>
      </c>
      <c r="N8" s="11">
        <v>0</v>
      </c>
      <c r="O8" s="11">
        <v>1</v>
      </c>
      <c r="P8" s="11">
        <v>1</v>
      </c>
      <c r="Q8" s="11">
        <v>1</v>
      </c>
      <c r="R8" s="11">
        <v>7</v>
      </c>
      <c r="S8" s="11">
        <v>27</v>
      </c>
    </row>
    <row r="9" spans="1:19" ht="46.5" thickTop="1" thickBot="1" x14ac:dyDescent="0.3">
      <c r="A9" s="11">
        <v>2024</v>
      </c>
      <c r="B9" s="11" t="s">
        <v>58</v>
      </c>
      <c r="C9" s="11" t="s">
        <v>59</v>
      </c>
      <c r="D9" s="11" t="s">
        <v>52</v>
      </c>
      <c r="E9" s="12">
        <v>300000</v>
      </c>
      <c r="F9" s="11" t="s">
        <v>60</v>
      </c>
      <c r="G9" s="11" t="s">
        <v>54</v>
      </c>
      <c r="H9" s="11" t="s">
        <v>55</v>
      </c>
      <c r="I9" s="11" t="s">
        <v>24</v>
      </c>
      <c r="J9" s="11" t="s">
        <v>57</v>
      </c>
      <c r="K9" s="11" t="s">
        <v>61</v>
      </c>
      <c r="L9" s="11">
        <f t="shared" si="0"/>
        <v>2</v>
      </c>
      <c r="M9" s="11">
        <v>0</v>
      </c>
      <c r="N9" s="11">
        <v>0</v>
      </c>
      <c r="O9" s="11">
        <v>1</v>
      </c>
      <c r="P9" s="11">
        <v>1</v>
      </c>
      <c r="Q9" s="11">
        <v>0</v>
      </c>
      <c r="R9" s="11">
        <v>8</v>
      </c>
      <c r="S9" s="11">
        <v>43</v>
      </c>
    </row>
    <row r="10" spans="1:19" ht="31.5" thickTop="1" thickBot="1" x14ac:dyDescent="0.3">
      <c r="A10" s="13">
        <v>2021</v>
      </c>
      <c r="B10" s="13" t="s">
        <v>62</v>
      </c>
      <c r="C10" s="13" t="s">
        <v>63</v>
      </c>
      <c r="D10" s="13" t="s">
        <v>20</v>
      </c>
      <c r="E10" s="14">
        <v>10000</v>
      </c>
      <c r="F10" s="13" t="s">
        <v>29</v>
      </c>
      <c r="G10" s="13" t="s">
        <v>64</v>
      </c>
      <c r="H10" s="13" t="s">
        <v>65</v>
      </c>
      <c r="I10" s="13" t="s">
        <v>66</v>
      </c>
      <c r="J10" s="13" t="s">
        <v>67</v>
      </c>
      <c r="K10" s="13"/>
      <c r="L10" s="13">
        <f t="shared" si="0"/>
        <v>2</v>
      </c>
      <c r="M10" s="13">
        <v>0</v>
      </c>
      <c r="N10" s="13">
        <v>1</v>
      </c>
      <c r="O10" s="13">
        <v>1</v>
      </c>
      <c r="P10" s="13">
        <v>0</v>
      </c>
      <c r="Q10" s="13">
        <v>0</v>
      </c>
      <c r="R10" s="13">
        <v>9</v>
      </c>
      <c r="S10" s="13">
        <v>5</v>
      </c>
    </row>
    <row r="11" spans="1:19" ht="61.5" thickTop="1" thickBot="1" x14ac:dyDescent="0.3">
      <c r="A11" s="3">
        <v>2024</v>
      </c>
      <c r="B11" s="3" t="s">
        <v>68</v>
      </c>
      <c r="C11" s="3" t="s">
        <v>69</v>
      </c>
      <c r="D11" s="3" t="s">
        <v>20</v>
      </c>
      <c r="E11" s="4">
        <v>15000</v>
      </c>
      <c r="F11" s="3" t="s">
        <v>70</v>
      </c>
      <c r="G11" s="3" t="s">
        <v>71</v>
      </c>
      <c r="H11" s="3" t="s">
        <v>30</v>
      </c>
      <c r="I11" s="3" t="s">
        <v>72</v>
      </c>
      <c r="J11" s="3" t="s">
        <v>73</v>
      </c>
      <c r="K11" s="3" t="s">
        <v>74</v>
      </c>
      <c r="L11" s="3">
        <f t="shared" si="0"/>
        <v>2</v>
      </c>
      <c r="M11" s="3">
        <v>1</v>
      </c>
      <c r="N11" s="3">
        <v>1</v>
      </c>
      <c r="O11" s="3">
        <v>0</v>
      </c>
      <c r="P11" s="3">
        <v>0</v>
      </c>
      <c r="Q11" s="3">
        <v>0</v>
      </c>
      <c r="R11" s="3">
        <v>10</v>
      </c>
      <c r="S11" s="3">
        <v>37</v>
      </c>
    </row>
    <row r="12" spans="1:19" ht="46.5" thickTop="1" thickBot="1" x14ac:dyDescent="0.3">
      <c r="A12" s="5">
        <v>2024</v>
      </c>
      <c r="B12" s="5" t="s">
        <v>75</v>
      </c>
      <c r="C12" s="5" t="s">
        <v>76</v>
      </c>
      <c r="D12" s="5" t="s">
        <v>20</v>
      </c>
      <c r="E12" s="6">
        <v>15000</v>
      </c>
      <c r="F12" s="5" t="s">
        <v>77</v>
      </c>
      <c r="G12" s="5" t="s">
        <v>71</v>
      </c>
      <c r="H12" s="5" t="s">
        <v>78</v>
      </c>
      <c r="I12" s="5" t="s">
        <v>79</v>
      </c>
      <c r="J12" s="5" t="s">
        <v>80</v>
      </c>
      <c r="K12" s="5" t="s">
        <v>61</v>
      </c>
      <c r="L12" s="5">
        <f t="shared" si="0"/>
        <v>2</v>
      </c>
      <c r="M12" s="5">
        <v>0</v>
      </c>
      <c r="N12" s="5">
        <v>0</v>
      </c>
      <c r="O12" s="5">
        <v>1</v>
      </c>
      <c r="P12" s="5">
        <v>0</v>
      </c>
      <c r="Q12" s="5">
        <v>1</v>
      </c>
      <c r="R12" s="5">
        <v>11</v>
      </c>
      <c r="S12" s="5">
        <v>34</v>
      </c>
    </row>
    <row r="13" spans="1:19" ht="46.5" thickTop="1" thickBot="1" x14ac:dyDescent="0.3">
      <c r="A13" s="5">
        <v>2023</v>
      </c>
      <c r="B13" s="5" t="s">
        <v>75</v>
      </c>
      <c r="C13" s="5" t="s">
        <v>81</v>
      </c>
      <c r="D13" s="5" t="s">
        <v>20</v>
      </c>
      <c r="E13" s="6">
        <v>15000</v>
      </c>
      <c r="F13" s="5" t="s">
        <v>29</v>
      </c>
      <c r="G13" s="5" t="s">
        <v>71</v>
      </c>
      <c r="H13" s="5" t="s">
        <v>30</v>
      </c>
      <c r="I13" s="5" t="s">
        <v>71</v>
      </c>
      <c r="J13" s="5" t="s">
        <v>80</v>
      </c>
      <c r="K13" s="5" t="s">
        <v>26</v>
      </c>
      <c r="L13" s="5">
        <f t="shared" si="0"/>
        <v>2</v>
      </c>
      <c r="M13" s="5">
        <v>0</v>
      </c>
      <c r="N13" s="5">
        <v>0</v>
      </c>
      <c r="O13" s="5">
        <v>1</v>
      </c>
      <c r="P13" s="5">
        <v>0</v>
      </c>
      <c r="Q13" s="5">
        <v>1</v>
      </c>
      <c r="R13" s="5">
        <v>12</v>
      </c>
      <c r="S13" s="5">
        <v>21</v>
      </c>
    </row>
    <row r="14" spans="1:19" ht="31.5" thickTop="1" thickBot="1" x14ac:dyDescent="0.3">
      <c r="A14" s="7">
        <v>2022</v>
      </c>
      <c r="B14" s="7" t="s">
        <v>82</v>
      </c>
      <c r="C14" s="7" t="s">
        <v>83</v>
      </c>
      <c r="D14" s="7" t="s">
        <v>84</v>
      </c>
      <c r="E14" s="8">
        <v>200000</v>
      </c>
      <c r="F14" s="7" t="s">
        <v>21</v>
      </c>
      <c r="G14" s="7" t="s">
        <v>85</v>
      </c>
      <c r="H14" s="7" t="s">
        <v>86</v>
      </c>
      <c r="I14" s="7" t="s">
        <v>72</v>
      </c>
      <c r="J14" s="7" t="s">
        <v>87</v>
      </c>
      <c r="K14" s="7" t="s">
        <v>26</v>
      </c>
      <c r="L14" s="7">
        <f t="shared" si="0"/>
        <v>1</v>
      </c>
      <c r="M14" s="7">
        <v>0</v>
      </c>
      <c r="N14" s="7">
        <v>0</v>
      </c>
      <c r="O14" s="7">
        <v>1</v>
      </c>
      <c r="P14" s="7">
        <v>0</v>
      </c>
      <c r="Q14" s="7">
        <v>0</v>
      </c>
      <c r="R14" s="7">
        <v>13</v>
      </c>
      <c r="S14" s="7">
        <v>16</v>
      </c>
    </row>
    <row r="15" spans="1:19" ht="46.5" thickTop="1" thickBot="1" x14ac:dyDescent="0.3">
      <c r="A15" s="7">
        <v>2023</v>
      </c>
      <c r="B15" s="7" t="s">
        <v>82</v>
      </c>
      <c r="C15" s="7" t="s">
        <v>88</v>
      </c>
      <c r="D15" s="7" t="s">
        <v>84</v>
      </c>
      <c r="E15" s="8">
        <v>200000</v>
      </c>
      <c r="F15" s="7" t="s">
        <v>21</v>
      </c>
      <c r="G15" s="7" t="s">
        <v>85</v>
      </c>
      <c r="H15" s="7" t="s">
        <v>86</v>
      </c>
      <c r="I15" s="7" t="s">
        <v>72</v>
      </c>
      <c r="J15" s="7" t="s">
        <v>89</v>
      </c>
      <c r="K15" s="7" t="s">
        <v>26</v>
      </c>
      <c r="L15" s="7">
        <f t="shared" si="0"/>
        <v>1</v>
      </c>
      <c r="M15" s="7">
        <v>0</v>
      </c>
      <c r="N15" s="7">
        <v>0</v>
      </c>
      <c r="O15" s="7">
        <v>1</v>
      </c>
      <c r="P15" s="7">
        <v>0</v>
      </c>
      <c r="Q15" s="7">
        <v>0</v>
      </c>
      <c r="R15" s="7">
        <v>14</v>
      </c>
      <c r="S15" s="7">
        <v>29</v>
      </c>
    </row>
    <row r="16" spans="1:19" ht="46.5" thickTop="1" thickBot="1" x14ac:dyDescent="0.3">
      <c r="A16" s="9">
        <v>2021</v>
      </c>
      <c r="B16" s="9" t="s">
        <v>90</v>
      </c>
      <c r="C16" s="9" t="s">
        <v>91</v>
      </c>
      <c r="D16" s="9" t="s">
        <v>20</v>
      </c>
      <c r="E16" s="10">
        <v>10000</v>
      </c>
      <c r="F16" s="9" t="s">
        <v>21</v>
      </c>
      <c r="G16" s="9" t="s">
        <v>64</v>
      </c>
      <c r="H16" s="9" t="s">
        <v>92</v>
      </c>
      <c r="I16" s="9" t="s">
        <v>93</v>
      </c>
      <c r="J16" s="9" t="s">
        <v>94</v>
      </c>
      <c r="K16" s="9"/>
      <c r="L16" s="9">
        <f t="shared" si="0"/>
        <v>1</v>
      </c>
      <c r="M16" s="9">
        <v>0</v>
      </c>
      <c r="N16" s="9">
        <v>1</v>
      </c>
      <c r="O16" s="9">
        <v>0</v>
      </c>
      <c r="P16" s="9">
        <v>0</v>
      </c>
      <c r="Q16" s="9">
        <v>0</v>
      </c>
      <c r="R16" s="9">
        <v>15</v>
      </c>
      <c r="S16" s="9">
        <v>2</v>
      </c>
    </row>
    <row r="17" spans="1:19" ht="61.5" thickTop="1" thickBot="1" x14ac:dyDescent="0.3">
      <c r="A17" s="11">
        <v>2022</v>
      </c>
      <c r="B17" s="11" t="s">
        <v>95</v>
      </c>
      <c r="C17" s="11" t="s">
        <v>96</v>
      </c>
      <c r="D17" s="11" t="s">
        <v>52</v>
      </c>
      <c r="E17" s="12">
        <v>238013</v>
      </c>
      <c r="F17" s="11" t="s">
        <v>53</v>
      </c>
      <c r="G17" s="11" t="s">
        <v>54</v>
      </c>
      <c r="H17" s="11" t="s">
        <v>24</v>
      </c>
      <c r="I17" s="11" t="s">
        <v>55</v>
      </c>
      <c r="J17" s="11" t="s">
        <v>97</v>
      </c>
      <c r="K17" s="11" t="s">
        <v>26</v>
      </c>
      <c r="L17" s="11">
        <f t="shared" si="0"/>
        <v>2</v>
      </c>
      <c r="M17" s="11">
        <v>1</v>
      </c>
      <c r="N17" s="11">
        <v>0</v>
      </c>
      <c r="O17" s="11">
        <v>1</v>
      </c>
      <c r="P17" s="11">
        <v>0</v>
      </c>
      <c r="Q17" s="11">
        <v>0</v>
      </c>
      <c r="R17" s="11">
        <v>16</v>
      </c>
      <c r="S17" s="11">
        <v>12</v>
      </c>
    </row>
    <row r="18" spans="1:19" ht="61.5" thickTop="1" thickBot="1" x14ac:dyDescent="0.3">
      <c r="A18" s="11">
        <v>2023</v>
      </c>
      <c r="B18" s="11" t="s">
        <v>95</v>
      </c>
      <c r="C18" s="11" t="s">
        <v>98</v>
      </c>
      <c r="D18" s="11" t="s">
        <v>52</v>
      </c>
      <c r="E18" s="12">
        <v>238013</v>
      </c>
      <c r="F18" s="11" t="s">
        <v>53</v>
      </c>
      <c r="G18" s="11" t="s">
        <v>54</v>
      </c>
      <c r="H18" s="11" t="s">
        <v>30</v>
      </c>
      <c r="I18" s="11" t="s">
        <v>45</v>
      </c>
      <c r="J18" s="11" t="s">
        <v>99</v>
      </c>
      <c r="K18" s="11" t="s">
        <v>26</v>
      </c>
      <c r="L18" s="11">
        <f t="shared" si="0"/>
        <v>4</v>
      </c>
      <c r="M18" s="11">
        <v>0</v>
      </c>
      <c r="N18" s="11">
        <v>0</v>
      </c>
      <c r="O18" s="11">
        <v>4</v>
      </c>
      <c r="P18" s="11">
        <v>0</v>
      </c>
      <c r="Q18" s="11">
        <v>0</v>
      </c>
      <c r="R18" s="11">
        <v>17</v>
      </c>
      <c r="S18" s="11">
        <v>24</v>
      </c>
    </row>
    <row r="19" spans="1:19" ht="61.5" thickTop="1" thickBot="1" x14ac:dyDescent="0.3">
      <c r="A19" s="11">
        <v>2024</v>
      </c>
      <c r="B19" s="11" t="s">
        <v>100</v>
      </c>
      <c r="C19" s="11" t="s">
        <v>98</v>
      </c>
      <c r="D19" s="11" t="s">
        <v>52</v>
      </c>
      <c r="E19" s="12">
        <v>238013</v>
      </c>
      <c r="F19" s="11" t="s">
        <v>60</v>
      </c>
      <c r="G19" s="11" t="s">
        <v>54</v>
      </c>
      <c r="H19" s="11" t="s">
        <v>30</v>
      </c>
      <c r="I19" s="11" t="s">
        <v>45</v>
      </c>
      <c r="J19" s="11" t="s">
        <v>101</v>
      </c>
      <c r="K19" s="11" t="s">
        <v>26</v>
      </c>
      <c r="L19" s="11">
        <f t="shared" si="0"/>
        <v>5</v>
      </c>
      <c r="M19" s="11">
        <v>1</v>
      </c>
      <c r="N19" s="11">
        <v>0</v>
      </c>
      <c r="O19" s="11">
        <v>4</v>
      </c>
      <c r="P19" s="11">
        <v>0</v>
      </c>
      <c r="Q19" s="11">
        <v>0</v>
      </c>
      <c r="R19" s="11">
        <v>18</v>
      </c>
      <c r="S19" s="11">
        <v>41</v>
      </c>
    </row>
    <row r="20" spans="1:19" ht="46.5" thickTop="1" thickBot="1" x14ac:dyDescent="0.3">
      <c r="A20" s="13">
        <v>2024</v>
      </c>
      <c r="B20" s="13" t="s">
        <v>102</v>
      </c>
      <c r="C20" s="13" t="s">
        <v>103</v>
      </c>
      <c r="D20" s="13" t="s">
        <v>20</v>
      </c>
      <c r="E20" s="14">
        <v>15000</v>
      </c>
      <c r="F20" s="13" t="s">
        <v>77</v>
      </c>
      <c r="G20" s="13" t="s">
        <v>30</v>
      </c>
      <c r="H20" s="13" t="s">
        <v>85</v>
      </c>
      <c r="I20" s="13" t="s">
        <v>45</v>
      </c>
      <c r="J20" s="13" t="s">
        <v>46</v>
      </c>
      <c r="K20" s="13" t="s">
        <v>49</v>
      </c>
      <c r="L20" s="13">
        <f t="shared" si="0"/>
        <v>2</v>
      </c>
      <c r="M20" s="13">
        <v>0</v>
      </c>
      <c r="N20" s="13">
        <v>1</v>
      </c>
      <c r="O20" s="13">
        <v>0</v>
      </c>
      <c r="P20" s="13">
        <v>0</v>
      </c>
      <c r="Q20" s="13">
        <v>1</v>
      </c>
      <c r="R20" s="13">
        <v>19</v>
      </c>
      <c r="S20" s="13">
        <v>39</v>
      </c>
    </row>
    <row r="21" spans="1:19" ht="61.5" thickTop="1" thickBot="1" x14ac:dyDescent="0.3">
      <c r="A21" s="3">
        <v>2022</v>
      </c>
      <c r="B21" s="3" t="s">
        <v>104</v>
      </c>
      <c r="C21" s="3" t="s">
        <v>105</v>
      </c>
      <c r="D21" s="3" t="s">
        <v>20</v>
      </c>
      <c r="E21" s="4">
        <v>9700</v>
      </c>
      <c r="F21" s="3" t="s">
        <v>29</v>
      </c>
      <c r="G21" s="3" t="s">
        <v>106</v>
      </c>
      <c r="H21" s="3" t="s">
        <v>30</v>
      </c>
      <c r="I21" s="3" t="s">
        <v>107</v>
      </c>
      <c r="J21" s="3" t="s">
        <v>108</v>
      </c>
      <c r="K21" s="3" t="s">
        <v>26</v>
      </c>
      <c r="L21" s="3">
        <f t="shared" si="0"/>
        <v>3</v>
      </c>
      <c r="M21" s="3">
        <v>1</v>
      </c>
      <c r="N21" s="3">
        <v>0</v>
      </c>
      <c r="O21" s="3">
        <v>2</v>
      </c>
      <c r="P21" s="3">
        <v>0</v>
      </c>
      <c r="Q21" s="3">
        <v>0</v>
      </c>
      <c r="R21" s="3">
        <v>20</v>
      </c>
      <c r="S21" s="3">
        <v>8</v>
      </c>
    </row>
    <row r="22" spans="1:19" ht="61.5" thickTop="1" thickBot="1" x14ac:dyDescent="0.3">
      <c r="A22" s="5">
        <v>2023</v>
      </c>
      <c r="B22" s="5" t="s">
        <v>109</v>
      </c>
      <c r="C22" s="5" t="s">
        <v>110</v>
      </c>
      <c r="D22" s="5" t="s">
        <v>20</v>
      </c>
      <c r="E22" s="6">
        <v>14998</v>
      </c>
      <c r="F22" s="5" t="s">
        <v>29</v>
      </c>
      <c r="G22" s="5" t="s">
        <v>71</v>
      </c>
      <c r="H22" s="5" t="s">
        <v>78</v>
      </c>
      <c r="I22" s="5" t="s">
        <v>79</v>
      </c>
      <c r="J22" s="5" t="s">
        <v>111</v>
      </c>
      <c r="K22" s="5" t="s">
        <v>26</v>
      </c>
      <c r="L22" s="5">
        <f t="shared" si="0"/>
        <v>2</v>
      </c>
      <c r="M22" s="5">
        <v>2</v>
      </c>
      <c r="N22" s="5">
        <v>0</v>
      </c>
      <c r="O22" s="5">
        <v>0</v>
      </c>
      <c r="P22" s="5">
        <v>0</v>
      </c>
      <c r="Q22" s="5">
        <v>0</v>
      </c>
      <c r="R22" s="5">
        <v>21</v>
      </c>
      <c r="S22" s="5">
        <v>20</v>
      </c>
    </row>
    <row r="23" spans="1:19" ht="61.5" thickTop="1" thickBot="1" x14ac:dyDescent="0.3">
      <c r="A23" s="5">
        <v>2024</v>
      </c>
      <c r="B23" s="5" t="s">
        <v>109</v>
      </c>
      <c r="C23" s="5" t="s">
        <v>112</v>
      </c>
      <c r="D23" s="5" t="s">
        <v>20</v>
      </c>
      <c r="E23" s="6">
        <v>14998</v>
      </c>
      <c r="F23" s="5" t="s">
        <v>29</v>
      </c>
      <c r="G23" s="5" t="s">
        <v>71</v>
      </c>
      <c r="H23" s="5" t="s">
        <v>72</v>
      </c>
      <c r="I23" s="5" t="s">
        <v>78</v>
      </c>
      <c r="J23" s="5" t="s">
        <v>111</v>
      </c>
      <c r="K23" s="5" t="s">
        <v>61</v>
      </c>
      <c r="L23" s="5">
        <f t="shared" si="0"/>
        <v>3</v>
      </c>
      <c r="M23" s="5">
        <v>3</v>
      </c>
      <c r="N23" s="5">
        <v>0</v>
      </c>
      <c r="O23" s="5">
        <v>0</v>
      </c>
      <c r="P23" s="5">
        <v>0</v>
      </c>
      <c r="Q23" s="5">
        <v>0</v>
      </c>
      <c r="R23" s="5">
        <v>22</v>
      </c>
      <c r="S23" s="5">
        <v>33</v>
      </c>
    </row>
    <row r="24" spans="1:19" ht="61.5" thickTop="1" thickBot="1" x14ac:dyDescent="0.3">
      <c r="A24" s="7">
        <v>2021</v>
      </c>
      <c r="B24" s="7" t="s">
        <v>113</v>
      </c>
      <c r="C24" s="7" t="s">
        <v>114</v>
      </c>
      <c r="D24" s="7" t="s">
        <v>20</v>
      </c>
      <c r="E24" s="8">
        <v>9500</v>
      </c>
      <c r="F24" s="7" t="s">
        <v>115</v>
      </c>
      <c r="G24" s="7" t="s">
        <v>116</v>
      </c>
      <c r="H24" s="7" t="s">
        <v>117</v>
      </c>
      <c r="I24" s="7" t="s">
        <v>118</v>
      </c>
      <c r="J24" s="7" t="s">
        <v>119</v>
      </c>
      <c r="K24" s="7"/>
      <c r="L24" s="7">
        <f t="shared" si="0"/>
        <v>1</v>
      </c>
      <c r="M24" s="7">
        <v>0</v>
      </c>
      <c r="N24" s="7">
        <v>0</v>
      </c>
      <c r="O24" s="7">
        <v>1</v>
      </c>
      <c r="P24" s="7">
        <v>0</v>
      </c>
      <c r="Q24" s="7">
        <v>0</v>
      </c>
      <c r="R24" s="7">
        <v>23</v>
      </c>
      <c r="S24" s="7">
        <v>3</v>
      </c>
    </row>
    <row r="25" spans="1:19" ht="46.5" thickTop="1" thickBot="1" x14ac:dyDescent="0.3">
      <c r="A25" s="9">
        <v>2022</v>
      </c>
      <c r="B25" s="9" t="s">
        <v>120</v>
      </c>
      <c r="C25" s="9" t="s">
        <v>121</v>
      </c>
      <c r="D25" s="9" t="s">
        <v>52</v>
      </c>
      <c r="E25" s="10">
        <v>122318</v>
      </c>
      <c r="F25" s="9" t="s">
        <v>53</v>
      </c>
      <c r="G25" s="9" t="s">
        <v>54</v>
      </c>
      <c r="H25" s="9" t="s">
        <v>45</v>
      </c>
      <c r="I25" s="9" t="s">
        <v>55</v>
      </c>
      <c r="J25" s="9" t="s">
        <v>122</v>
      </c>
      <c r="K25" s="9" t="s">
        <v>26</v>
      </c>
      <c r="L25" s="9">
        <f t="shared" si="0"/>
        <v>1</v>
      </c>
      <c r="M25" s="9">
        <v>0</v>
      </c>
      <c r="N25" s="9">
        <v>1</v>
      </c>
      <c r="O25" s="9">
        <v>0</v>
      </c>
      <c r="P25" s="9">
        <v>0</v>
      </c>
      <c r="Q25" s="9">
        <v>0</v>
      </c>
      <c r="R25" s="9">
        <v>24</v>
      </c>
      <c r="S25" s="9">
        <v>13</v>
      </c>
    </row>
    <row r="26" spans="1:19" ht="46.5" thickTop="1" thickBot="1" x14ac:dyDescent="0.3">
      <c r="A26" s="9">
        <v>2023</v>
      </c>
      <c r="B26" s="9" t="s">
        <v>120</v>
      </c>
      <c r="C26" s="9" t="s">
        <v>121</v>
      </c>
      <c r="D26" s="9" t="s">
        <v>52</v>
      </c>
      <c r="E26" s="10">
        <v>122318</v>
      </c>
      <c r="F26" s="9" t="s">
        <v>29</v>
      </c>
      <c r="G26" s="9" t="s">
        <v>54</v>
      </c>
      <c r="H26" s="9" t="s">
        <v>55</v>
      </c>
      <c r="I26" s="9" t="s">
        <v>45</v>
      </c>
      <c r="J26" s="9" t="s">
        <v>123</v>
      </c>
      <c r="K26" s="9" t="s">
        <v>26</v>
      </c>
      <c r="L26" s="9">
        <f t="shared" si="0"/>
        <v>1</v>
      </c>
      <c r="M26" s="9">
        <v>0</v>
      </c>
      <c r="N26" s="9">
        <v>1</v>
      </c>
      <c r="O26" s="9">
        <v>0</v>
      </c>
      <c r="P26" s="9">
        <v>0</v>
      </c>
      <c r="Q26" s="9">
        <v>0</v>
      </c>
      <c r="R26" s="9">
        <v>25</v>
      </c>
      <c r="S26" s="9">
        <v>25</v>
      </c>
    </row>
    <row r="27" spans="1:19" ht="46.5" thickTop="1" thickBot="1" x14ac:dyDescent="0.3">
      <c r="A27" s="9">
        <v>2024</v>
      </c>
      <c r="B27" s="9" t="s">
        <v>124</v>
      </c>
      <c r="C27" s="9" t="s">
        <v>125</v>
      </c>
      <c r="D27" s="9" t="s">
        <v>52</v>
      </c>
      <c r="E27" s="10">
        <v>122318</v>
      </c>
      <c r="F27" s="9" t="s">
        <v>29</v>
      </c>
      <c r="G27" s="9" t="s">
        <v>54</v>
      </c>
      <c r="H27" s="9" t="s">
        <v>55</v>
      </c>
      <c r="I27" s="9" t="s">
        <v>85</v>
      </c>
      <c r="J27" s="9" t="s">
        <v>123</v>
      </c>
      <c r="K27" s="9" t="s">
        <v>26</v>
      </c>
      <c r="L27" s="9">
        <f t="shared" si="0"/>
        <v>1</v>
      </c>
      <c r="M27" s="9">
        <v>0</v>
      </c>
      <c r="N27" s="9">
        <v>1</v>
      </c>
      <c r="O27" s="9">
        <v>0</v>
      </c>
      <c r="P27" s="9">
        <v>0</v>
      </c>
      <c r="Q27" s="9">
        <v>0</v>
      </c>
      <c r="R27" s="9">
        <v>26</v>
      </c>
      <c r="S27" s="9">
        <v>44</v>
      </c>
    </row>
    <row r="28" spans="1:19" ht="46.5" thickTop="1" thickBot="1" x14ac:dyDescent="0.3">
      <c r="A28" s="11">
        <v>2023</v>
      </c>
      <c r="B28" s="11" t="s">
        <v>126</v>
      </c>
      <c r="C28" s="11" t="s">
        <v>127</v>
      </c>
      <c r="D28" s="11" t="s">
        <v>20</v>
      </c>
      <c r="E28" s="12">
        <v>15141</v>
      </c>
      <c r="F28" s="11" t="s">
        <v>53</v>
      </c>
      <c r="G28" s="11" t="s">
        <v>54</v>
      </c>
      <c r="H28" s="11" t="s">
        <v>24</v>
      </c>
      <c r="I28" s="11" t="s">
        <v>55</v>
      </c>
      <c r="J28" s="11" t="s">
        <v>128</v>
      </c>
      <c r="K28" s="11" t="s">
        <v>26</v>
      </c>
      <c r="L28" s="11">
        <f t="shared" si="0"/>
        <v>8</v>
      </c>
      <c r="M28" s="11">
        <v>0</v>
      </c>
      <c r="N28" s="11">
        <v>2</v>
      </c>
      <c r="O28" s="11">
        <v>1</v>
      </c>
      <c r="P28" s="11">
        <v>1</v>
      </c>
      <c r="Q28" s="11">
        <v>4</v>
      </c>
      <c r="R28" s="11">
        <v>27</v>
      </c>
      <c r="S28" s="11">
        <v>19</v>
      </c>
    </row>
    <row r="29" spans="1:19" ht="46.5" thickTop="1" thickBot="1" x14ac:dyDescent="0.3">
      <c r="A29" s="11">
        <v>2024</v>
      </c>
      <c r="B29" s="11" t="s">
        <v>126</v>
      </c>
      <c r="C29" s="11" t="s">
        <v>129</v>
      </c>
      <c r="D29" s="11" t="s">
        <v>20</v>
      </c>
      <c r="E29" s="12">
        <v>15141</v>
      </c>
      <c r="F29" s="11" t="s">
        <v>29</v>
      </c>
      <c r="G29" s="11" t="s">
        <v>54</v>
      </c>
      <c r="H29" s="11" t="s">
        <v>55</v>
      </c>
      <c r="I29" s="11" t="s">
        <v>24</v>
      </c>
      <c r="J29" s="11" t="s">
        <v>130</v>
      </c>
      <c r="K29" s="11" t="s">
        <v>61</v>
      </c>
      <c r="L29" s="11">
        <f t="shared" si="0"/>
        <v>2</v>
      </c>
      <c r="M29" s="11">
        <v>0</v>
      </c>
      <c r="N29" s="11">
        <v>1</v>
      </c>
      <c r="O29" s="11">
        <v>1</v>
      </c>
      <c r="P29" s="11">
        <v>0</v>
      </c>
      <c r="Q29" s="11">
        <v>0</v>
      </c>
      <c r="R29" s="11">
        <v>28</v>
      </c>
      <c r="S29" s="11">
        <v>32</v>
      </c>
    </row>
    <row r="30" spans="1:19" ht="61.5" thickTop="1" thickBot="1" x14ac:dyDescent="0.3">
      <c r="A30" s="13">
        <v>2022</v>
      </c>
      <c r="B30" s="13" t="s">
        <v>131</v>
      </c>
      <c r="C30" s="13" t="s">
        <v>132</v>
      </c>
      <c r="D30" s="13" t="s">
        <v>20</v>
      </c>
      <c r="E30" s="14">
        <v>10000</v>
      </c>
      <c r="F30" s="13" t="s">
        <v>29</v>
      </c>
      <c r="G30" s="13" t="s">
        <v>133</v>
      </c>
      <c r="H30" s="13" t="s">
        <v>55</v>
      </c>
      <c r="I30" s="13" t="s">
        <v>30</v>
      </c>
      <c r="J30" s="13" t="s">
        <v>134</v>
      </c>
      <c r="K30" s="13" t="s">
        <v>26</v>
      </c>
      <c r="L30" s="13">
        <f t="shared" si="0"/>
        <v>1</v>
      </c>
      <c r="M30" s="13">
        <v>0</v>
      </c>
      <c r="N30" s="13">
        <v>0</v>
      </c>
      <c r="O30" s="13">
        <v>1</v>
      </c>
      <c r="P30" s="13">
        <v>0</v>
      </c>
      <c r="Q30" s="13">
        <v>0</v>
      </c>
      <c r="R30" s="13">
        <v>29</v>
      </c>
      <c r="S30" s="13">
        <v>10</v>
      </c>
    </row>
    <row r="31" spans="1:19" ht="31.5" thickTop="1" thickBot="1" x14ac:dyDescent="0.3">
      <c r="A31" s="3">
        <v>2022</v>
      </c>
      <c r="B31" s="3" t="s">
        <v>135</v>
      </c>
      <c r="C31" s="3" t="s">
        <v>136</v>
      </c>
      <c r="D31" s="3" t="s">
        <v>137</v>
      </c>
      <c r="E31" s="4">
        <v>250000</v>
      </c>
      <c r="F31" s="3" t="s">
        <v>29</v>
      </c>
      <c r="G31" s="3" t="s">
        <v>71</v>
      </c>
      <c r="H31" s="3" t="s">
        <v>106</v>
      </c>
      <c r="I31" s="3" t="s">
        <v>85</v>
      </c>
      <c r="J31" s="3" t="s">
        <v>33</v>
      </c>
      <c r="K31" s="3" t="s">
        <v>34</v>
      </c>
      <c r="L31" s="3">
        <f t="shared" si="0"/>
        <v>1</v>
      </c>
      <c r="M31" s="3">
        <v>0</v>
      </c>
      <c r="N31" s="3">
        <v>0</v>
      </c>
      <c r="O31" s="3">
        <v>1</v>
      </c>
      <c r="P31" s="3">
        <v>0</v>
      </c>
      <c r="Q31" s="3">
        <v>0</v>
      </c>
      <c r="R31" s="3">
        <v>30</v>
      </c>
      <c r="S31" s="3">
        <v>14</v>
      </c>
    </row>
    <row r="32" spans="1:19" ht="31.5" thickTop="1" thickBot="1" x14ac:dyDescent="0.3">
      <c r="A32" s="3">
        <v>2023</v>
      </c>
      <c r="B32" s="3" t="s">
        <v>135</v>
      </c>
      <c r="C32" s="3" t="s">
        <v>136</v>
      </c>
      <c r="D32" s="3" t="s">
        <v>137</v>
      </c>
      <c r="E32" s="4">
        <v>250000</v>
      </c>
      <c r="F32" s="3" t="s">
        <v>29</v>
      </c>
      <c r="G32" s="3" t="s">
        <v>71</v>
      </c>
      <c r="H32" s="3" t="s">
        <v>138</v>
      </c>
      <c r="I32" s="3" t="s">
        <v>106</v>
      </c>
      <c r="J32" s="3" t="s">
        <v>67</v>
      </c>
      <c r="K32" s="3" t="s">
        <v>34</v>
      </c>
      <c r="L32" s="3">
        <f t="shared" si="0"/>
        <v>5</v>
      </c>
      <c r="M32" s="3">
        <v>1</v>
      </c>
      <c r="N32" s="3">
        <v>0</v>
      </c>
      <c r="O32" s="3">
        <v>2</v>
      </c>
      <c r="P32" s="3">
        <v>0</v>
      </c>
      <c r="Q32" s="3">
        <v>2</v>
      </c>
      <c r="R32" s="3">
        <v>31</v>
      </c>
      <c r="S32" s="3">
        <v>26</v>
      </c>
    </row>
    <row r="33" spans="1:19" ht="31.5" thickTop="1" thickBot="1" x14ac:dyDescent="0.3">
      <c r="A33" s="3">
        <v>2024</v>
      </c>
      <c r="B33" s="3" t="s">
        <v>139</v>
      </c>
      <c r="C33" s="3" t="s">
        <v>140</v>
      </c>
      <c r="D33" s="3" t="s">
        <v>137</v>
      </c>
      <c r="E33" s="4">
        <v>250000</v>
      </c>
      <c r="F33" s="3" t="s">
        <v>29</v>
      </c>
      <c r="G33" s="3" t="s">
        <v>71</v>
      </c>
      <c r="H33" s="3" t="s">
        <v>138</v>
      </c>
      <c r="I33" s="3" t="s">
        <v>106</v>
      </c>
      <c r="J33" s="3" t="s">
        <v>67</v>
      </c>
      <c r="K33" s="3" t="s">
        <v>34</v>
      </c>
      <c r="L33" s="3">
        <f t="shared" si="0"/>
        <v>6</v>
      </c>
      <c r="M33" s="3">
        <v>2</v>
      </c>
      <c r="N33" s="3">
        <v>1</v>
      </c>
      <c r="O33" s="3">
        <v>3</v>
      </c>
      <c r="P33" s="3">
        <v>0</v>
      </c>
      <c r="Q33" s="3">
        <v>0</v>
      </c>
      <c r="R33" s="3">
        <v>32</v>
      </c>
      <c r="S33" s="3">
        <v>42</v>
      </c>
    </row>
    <row r="34" spans="1:19" ht="46.5" thickTop="1" thickBot="1" x14ac:dyDescent="0.3">
      <c r="A34" s="5">
        <v>2022</v>
      </c>
      <c r="B34" s="5" t="s">
        <v>141</v>
      </c>
      <c r="C34" s="5" t="s">
        <v>142</v>
      </c>
      <c r="D34" s="5" t="s">
        <v>84</v>
      </c>
      <c r="E34" s="6">
        <v>200000</v>
      </c>
      <c r="F34" s="5" t="s">
        <v>37</v>
      </c>
      <c r="G34" s="5" t="s">
        <v>86</v>
      </c>
      <c r="H34" s="5" t="s">
        <v>72</v>
      </c>
      <c r="I34" s="5" t="s">
        <v>85</v>
      </c>
      <c r="J34" s="5" t="s">
        <v>143</v>
      </c>
      <c r="K34" s="5" t="s">
        <v>26</v>
      </c>
      <c r="L34" s="5">
        <f t="shared" si="0"/>
        <v>1</v>
      </c>
      <c r="M34" s="5">
        <v>0</v>
      </c>
      <c r="N34" s="5">
        <v>0</v>
      </c>
      <c r="O34" s="5">
        <v>1</v>
      </c>
      <c r="P34" s="5">
        <v>0</v>
      </c>
      <c r="Q34" s="5">
        <v>0</v>
      </c>
      <c r="R34" s="5">
        <v>33</v>
      </c>
      <c r="S34" s="5">
        <v>17</v>
      </c>
    </row>
    <row r="35" spans="1:19" ht="46.5" thickTop="1" thickBot="1" x14ac:dyDescent="0.3">
      <c r="A35" s="5">
        <v>2023</v>
      </c>
      <c r="B35" s="5" t="s">
        <v>141</v>
      </c>
      <c r="C35" s="5" t="s">
        <v>142</v>
      </c>
      <c r="D35" s="5" t="s">
        <v>84</v>
      </c>
      <c r="E35" s="6">
        <v>200000</v>
      </c>
      <c r="F35" s="5" t="s">
        <v>37</v>
      </c>
      <c r="G35" s="5" t="s">
        <v>86</v>
      </c>
      <c r="H35" s="5" t="s">
        <v>72</v>
      </c>
      <c r="I35" s="5" t="s">
        <v>85</v>
      </c>
      <c r="J35" s="5" t="s">
        <v>144</v>
      </c>
      <c r="K35" s="5" t="s">
        <v>26</v>
      </c>
      <c r="L35" s="5">
        <f t="shared" si="0"/>
        <v>2</v>
      </c>
      <c r="M35" s="5">
        <v>0</v>
      </c>
      <c r="N35" s="5">
        <v>0</v>
      </c>
      <c r="O35" s="5">
        <v>2</v>
      </c>
      <c r="P35" s="5">
        <v>0</v>
      </c>
      <c r="Q35" s="5">
        <v>0</v>
      </c>
      <c r="R35" s="5">
        <v>34</v>
      </c>
      <c r="S35" s="5">
        <v>23</v>
      </c>
    </row>
    <row r="36" spans="1:19" ht="46.5" thickTop="1" thickBot="1" x14ac:dyDescent="0.3">
      <c r="A36" s="5">
        <v>2024</v>
      </c>
      <c r="B36" s="5" t="s">
        <v>145</v>
      </c>
      <c r="C36" s="5" t="s">
        <v>146</v>
      </c>
      <c r="D36" s="5" t="s">
        <v>84</v>
      </c>
      <c r="E36" s="6">
        <v>200000</v>
      </c>
      <c r="F36" s="5" t="s">
        <v>37</v>
      </c>
      <c r="G36" s="5" t="s">
        <v>86</v>
      </c>
      <c r="H36" s="5" t="s">
        <v>72</v>
      </c>
      <c r="I36" s="5" t="s">
        <v>85</v>
      </c>
      <c r="J36" s="5" t="s">
        <v>147</v>
      </c>
      <c r="K36" s="5" t="s">
        <v>61</v>
      </c>
      <c r="L36" s="5">
        <f t="shared" si="0"/>
        <v>2</v>
      </c>
      <c r="M36" s="5">
        <v>0</v>
      </c>
      <c r="N36" s="5">
        <v>0</v>
      </c>
      <c r="O36" s="5">
        <v>2</v>
      </c>
      <c r="P36" s="5">
        <v>0</v>
      </c>
      <c r="Q36" s="5">
        <v>0</v>
      </c>
      <c r="R36" s="5">
        <v>35</v>
      </c>
      <c r="S36" s="5">
        <v>40</v>
      </c>
    </row>
    <row r="37" spans="1:19" ht="46.5" thickTop="1" thickBot="1" x14ac:dyDescent="0.3">
      <c r="A37" s="7">
        <v>2024</v>
      </c>
      <c r="B37" s="7" t="s">
        <v>148</v>
      </c>
      <c r="C37" s="7" t="s">
        <v>149</v>
      </c>
      <c r="D37" s="7" t="s">
        <v>20</v>
      </c>
      <c r="E37" s="8">
        <v>15000</v>
      </c>
      <c r="F37" s="7" t="s">
        <v>150</v>
      </c>
      <c r="G37" s="7" t="s">
        <v>151</v>
      </c>
      <c r="H37" s="7" t="s">
        <v>85</v>
      </c>
      <c r="I37" s="7" t="s">
        <v>48</v>
      </c>
      <c r="J37" s="7" t="s">
        <v>41</v>
      </c>
      <c r="K37" s="7" t="s">
        <v>61</v>
      </c>
      <c r="L37" s="7">
        <f t="shared" si="0"/>
        <v>2</v>
      </c>
      <c r="M37" s="7">
        <v>0</v>
      </c>
      <c r="N37" s="7">
        <v>0</v>
      </c>
      <c r="O37" s="7">
        <v>1</v>
      </c>
      <c r="P37" s="7">
        <v>0</v>
      </c>
      <c r="Q37" s="7">
        <v>1</v>
      </c>
      <c r="R37" s="7">
        <v>36</v>
      </c>
      <c r="S37" s="7">
        <v>36</v>
      </c>
    </row>
    <row r="38" spans="1:19" ht="61.5" thickTop="1" thickBot="1" x14ac:dyDescent="0.3">
      <c r="A38" s="9">
        <v>2021</v>
      </c>
      <c r="B38" s="9" t="s">
        <v>152</v>
      </c>
      <c r="C38" s="9" t="s">
        <v>153</v>
      </c>
      <c r="D38" s="9" t="s">
        <v>20</v>
      </c>
      <c r="E38" s="10">
        <v>5000</v>
      </c>
      <c r="F38" s="9" t="s">
        <v>115</v>
      </c>
      <c r="G38" s="9" t="s">
        <v>154</v>
      </c>
      <c r="H38" s="9" t="s">
        <v>155</v>
      </c>
      <c r="I38" s="9" t="s">
        <v>156</v>
      </c>
      <c r="J38" s="9" t="s">
        <v>157</v>
      </c>
      <c r="K38" s="9"/>
      <c r="L38" s="9">
        <f t="shared" si="0"/>
        <v>0</v>
      </c>
      <c r="M38" s="9">
        <v>0</v>
      </c>
      <c r="N38" s="9">
        <v>0</v>
      </c>
      <c r="O38" s="9">
        <v>0</v>
      </c>
      <c r="P38" s="9">
        <v>0</v>
      </c>
      <c r="Q38" s="9">
        <v>0</v>
      </c>
      <c r="R38" s="9">
        <v>37</v>
      </c>
      <c r="S38" s="9">
        <v>6</v>
      </c>
    </row>
    <row r="39" spans="1:19" ht="46.5" thickTop="1" thickBot="1" x14ac:dyDescent="0.3">
      <c r="A39" s="11">
        <v>2021</v>
      </c>
      <c r="B39" s="11" t="s">
        <v>158</v>
      </c>
      <c r="C39" s="11" t="s">
        <v>159</v>
      </c>
      <c r="D39" s="11" t="s">
        <v>20</v>
      </c>
      <c r="E39" s="12">
        <v>9999</v>
      </c>
      <c r="F39" s="11"/>
      <c r="G39" s="11" t="s">
        <v>93</v>
      </c>
      <c r="H39" s="11"/>
      <c r="I39" s="11"/>
      <c r="J39" s="11" t="s">
        <v>160</v>
      </c>
      <c r="K39" s="11"/>
      <c r="L39" s="11">
        <f t="shared" si="0"/>
        <v>3</v>
      </c>
      <c r="M39" s="11">
        <v>0</v>
      </c>
      <c r="N39" s="11">
        <v>2</v>
      </c>
      <c r="O39" s="11">
        <v>1</v>
      </c>
      <c r="P39" s="11">
        <v>0</v>
      </c>
      <c r="Q39" s="11">
        <v>0</v>
      </c>
      <c r="R39" s="11">
        <v>39</v>
      </c>
      <c r="S39" s="11">
        <v>4</v>
      </c>
    </row>
    <row r="40" spans="1:19" ht="76.5" thickTop="1" thickBot="1" x14ac:dyDescent="0.3">
      <c r="A40" s="13">
        <v>2024</v>
      </c>
      <c r="B40" s="13" t="s">
        <v>161</v>
      </c>
      <c r="C40" s="13" t="s">
        <v>162</v>
      </c>
      <c r="D40" s="13" t="s">
        <v>20</v>
      </c>
      <c r="E40" s="14">
        <v>15000</v>
      </c>
      <c r="F40" s="13" t="s">
        <v>29</v>
      </c>
      <c r="G40" s="13" t="s">
        <v>71</v>
      </c>
      <c r="H40" s="13" t="s">
        <v>30</v>
      </c>
      <c r="I40" s="13" t="s">
        <v>163</v>
      </c>
      <c r="J40" s="13" t="s">
        <v>164</v>
      </c>
      <c r="K40" s="13" t="s">
        <v>165</v>
      </c>
      <c r="L40" s="13">
        <f t="shared" si="0"/>
        <v>0</v>
      </c>
      <c r="M40" s="13">
        <v>0</v>
      </c>
      <c r="N40" s="13">
        <v>0</v>
      </c>
      <c r="O40" s="13">
        <v>0</v>
      </c>
      <c r="P40" s="13">
        <v>0</v>
      </c>
      <c r="Q40" s="13">
        <v>0</v>
      </c>
      <c r="R40" s="13">
        <v>40</v>
      </c>
      <c r="S40" s="13">
        <v>38</v>
      </c>
    </row>
    <row r="41" spans="1:19" ht="61.5" thickTop="1" thickBot="1" x14ac:dyDescent="0.3">
      <c r="A41" s="3">
        <v>2022</v>
      </c>
      <c r="B41" s="3" t="s">
        <v>166</v>
      </c>
      <c r="C41" s="3" t="s">
        <v>167</v>
      </c>
      <c r="D41" s="3" t="s">
        <v>52</v>
      </c>
      <c r="E41" s="4">
        <v>240624</v>
      </c>
      <c r="F41" s="3" t="s">
        <v>53</v>
      </c>
      <c r="G41" s="3" t="s">
        <v>54</v>
      </c>
      <c r="H41" s="3"/>
      <c r="I41" s="3"/>
      <c r="J41" s="3" t="s">
        <v>168</v>
      </c>
      <c r="K41" s="3" t="s">
        <v>26</v>
      </c>
      <c r="L41" s="3">
        <f t="shared" si="0"/>
        <v>4</v>
      </c>
      <c r="M41" s="3">
        <v>2</v>
      </c>
      <c r="N41" s="3">
        <v>1</v>
      </c>
      <c r="O41" s="3">
        <v>0</v>
      </c>
      <c r="P41" s="3">
        <v>1</v>
      </c>
      <c r="Q41" s="3">
        <v>0</v>
      </c>
      <c r="R41" s="3">
        <v>41</v>
      </c>
      <c r="S41" s="3">
        <v>11</v>
      </c>
    </row>
    <row r="42" spans="1:19" ht="61.5" thickTop="1" thickBot="1" x14ac:dyDescent="0.3">
      <c r="A42" s="3">
        <v>2023</v>
      </c>
      <c r="B42" s="3" t="s">
        <v>166</v>
      </c>
      <c r="C42" s="3" t="s">
        <v>169</v>
      </c>
      <c r="D42" s="3" t="s">
        <v>52</v>
      </c>
      <c r="E42" s="4">
        <v>240624</v>
      </c>
      <c r="F42" s="3" t="s">
        <v>53</v>
      </c>
      <c r="G42" s="3" t="s">
        <v>54</v>
      </c>
      <c r="H42" s="3" t="s">
        <v>31</v>
      </c>
      <c r="I42" s="3" t="s">
        <v>55</v>
      </c>
      <c r="J42" s="3" t="s">
        <v>170</v>
      </c>
      <c r="K42" s="3" t="s">
        <v>26</v>
      </c>
      <c r="L42" s="3">
        <f t="shared" si="0"/>
        <v>4</v>
      </c>
      <c r="M42" s="3">
        <v>2</v>
      </c>
      <c r="N42" s="3">
        <v>1</v>
      </c>
      <c r="O42" s="3">
        <v>0</v>
      </c>
      <c r="P42" s="3">
        <v>0</v>
      </c>
      <c r="Q42" s="3">
        <v>1</v>
      </c>
      <c r="R42" s="3">
        <v>42</v>
      </c>
      <c r="S42" s="3">
        <v>28</v>
      </c>
    </row>
    <row r="43" spans="1:19" ht="60.75" thickTop="1" x14ac:dyDescent="0.25">
      <c r="A43" s="3">
        <v>2024</v>
      </c>
      <c r="B43" s="3" t="s">
        <v>166</v>
      </c>
      <c r="C43" s="3" t="s">
        <v>169</v>
      </c>
      <c r="D43" s="3" t="s">
        <v>52</v>
      </c>
      <c r="E43" s="4">
        <v>240624</v>
      </c>
      <c r="F43" s="3" t="s">
        <v>60</v>
      </c>
      <c r="G43" s="3" t="s">
        <v>54</v>
      </c>
      <c r="H43" s="3" t="s">
        <v>31</v>
      </c>
      <c r="I43" s="3" t="s">
        <v>55</v>
      </c>
      <c r="J43" s="3" t="s">
        <v>170</v>
      </c>
      <c r="K43" s="3" t="s">
        <v>61</v>
      </c>
      <c r="L43" s="3">
        <f t="shared" si="0"/>
        <v>4</v>
      </c>
      <c r="M43" s="3">
        <v>2</v>
      </c>
      <c r="N43" s="3">
        <v>1</v>
      </c>
      <c r="O43" s="3">
        <v>0</v>
      </c>
      <c r="P43" s="3">
        <v>0</v>
      </c>
      <c r="Q43" s="3">
        <v>1</v>
      </c>
      <c r="R43" s="3">
        <v>43</v>
      </c>
      <c r="S43" s="3">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69E7B-F9D7-4181-9FB0-E6B95D1232F6}">
  <dimension ref="A1:M72"/>
  <sheetViews>
    <sheetView workbookViewId="0">
      <pane xSplit="2" ySplit="1" topLeftCell="C22" activePane="bottomRight" state="frozen"/>
      <selection pane="topRight" activeCell="C1" sqref="C1"/>
      <selection pane="bottomLeft" activeCell="A2" sqref="A2"/>
      <selection pane="bottomRight" activeCell="E59" sqref="E59"/>
    </sheetView>
  </sheetViews>
  <sheetFormatPr defaultRowHeight="15" x14ac:dyDescent="0.25"/>
  <cols>
    <col min="1" max="1" width="10.28515625" customWidth="1"/>
    <col min="2" max="2" width="21.42578125" customWidth="1"/>
    <col min="3" max="3" width="36.7109375" customWidth="1"/>
    <col min="4" max="4" width="18.28515625" customWidth="1"/>
    <col min="5" max="5" width="54.85546875" customWidth="1"/>
    <col min="6" max="6" width="27.5703125" customWidth="1"/>
    <col min="7" max="7" width="12" customWidth="1"/>
    <col min="8" max="8" width="12.28515625" customWidth="1"/>
    <col min="9" max="10" width="13.28515625" customWidth="1"/>
    <col min="11" max="11" width="27.5703125" customWidth="1"/>
    <col min="13" max="13" width="9.7109375" customWidth="1"/>
  </cols>
  <sheetData>
    <row r="1" spans="1:13" ht="30.75" thickBot="1" x14ac:dyDescent="0.3">
      <c r="A1" s="1" t="s">
        <v>0</v>
      </c>
      <c r="B1" s="1" t="s">
        <v>1</v>
      </c>
      <c r="C1" s="1" t="s">
        <v>2</v>
      </c>
      <c r="D1" s="1" t="s">
        <v>171</v>
      </c>
      <c r="E1" s="1" t="s">
        <v>172</v>
      </c>
      <c r="F1" s="1" t="s">
        <v>173</v>
      </c>
      <c r="G1" s="1" t="s">
        <v>174</v>
      </c>
      <c r="H1" s="1" t="s">
        <v>175</v>
      </c>
      <c r="I1" s="1" t="s">
        <v>176</v>
      </c>
      <c r="J1" s="1" t="s">
        <v>177</v>
      </c>
      <c r="K1" s="1" t="s">
        <v>178</v>
      </c>
      <c r="L1" s="1" t="s">
        <v>16</v>
      </c>
      <c r="M1" s="1" t="s">
        <v>17</v>
      </c>
    </row>
    <row r="2" spans="1:13" ht="60.75" thickTop="1" x14ac:dyDescent="0.25">
      <c r="A2" s="3">
        <v>2021</v>
      </c>
      <c r="B2" s="3" t="s">
        <v>35</v>
      </c>
      <c r="C2" s="3" t="s">
        <v>36</v>
      </c>
      <c r="D2" s="3" t="s">
        <v>179</v>
      </c>
      <c r="E2" s="3" t="s">
        <v>180</v>
      </c>
      <c r="F2" s="3" t="s">
        <v>181</v>
      </c>
      <c r="G2" s="3"/>
      <c r="H2" s="3"/>
      <c r="I2" s="3">
        <v>1</v>
      </c>
      <c r="J2" s="3">
        <v>0</v>
      </c>
      <c r="K2" s="3"/>
      <c r="L2" s="3">
        <v>3</v>
      </c>
      <c r="M2" s="3">
        <v>1</v>
      </c>
    </row>
    <row r="3" spans="1:13" ht="75" x14ac:dyDescent="0.25">
      <c r="A3" s="18">
        <v>2021</v>
      </c>
      <c r="B3" s="18" t="s">
        <v>35</v>
      </c>
      <c r="C3" s="18" t="s">
        <v>36</v>
      </c>
      <c r="D3" s="18" t="s">
        <v>182</v>
      </c>
      <c r="E3" s="18" t="s">
        <v>183</v>
      </c>
      <c r="F3" s="18" t="s">
        <v>181</v>
      </c>
      <c r="G3" s="18"/>
      <c r="H3" s="18"/>
      <c r="I3" s="18">
        <v>1</v>
      </c>
      <c r="J3" s="18">
        <v>0</v>
      </c>
      <c r="K3" s="18"/>
      <c r="L3" s="18">
        <v>3.1</v>
      </c>
      <c r="M3" s="18">
        <v>1.1000000000000001</v>
      </c>
    </row>
    <row r="4" spans="1:13" ht="60.75" thickBot="1" x14ac:dyDescent="0.3">
      <c r="A4" s="18">
        <v>2021</v>
      </c>
      <c r="B4" s="18" t="s">
        <v>35</v>
      </c>
      <c r="C4" s="18" t="s">
        <v>36</v>
      </c>
      <c r="D4" s="18" t="s">
        <v>184</v>
      </c>
      <c r="E4" s="18" t="s">
        <v>185</v>
      </c>
      <c r="F4" s="18" t="s">
        <v>181</v>
      </c>
      <c r="G4" s="18"/>
      <c r="H4" s="18"/>
      <c r="I4" s="18">
        <v>1</v>
      </c>
      <c r="J4" s="18">
        <v>0</v>
      </c>
      <c r="K4" s="18"/>
      <c r="L4" s="18">
        <v>3.2</v>
      </c>
      <c r="M4" s="18">
        <v>1.2</v>
      </c>
    </row>
    <row r="5" spans="1:13" ht="61.5" thickTop="1" thickBot="1" x14ac:dyDescent="0.3">
      <c r="A5" s="5">
        <v>2024</v>
      </c>
      <c r="B5" s="5" t="s">
        <v>42</v>
      </c>
      <c r="C5" s="5" t="s">
        <v>43</v>
      </c>
      <c r="D5" s="5" t="s">
        <v>179</v>
      </c>
      <c r="E5" s="5" t="s">
        <v>186</v>
      </c>
      <c r="F5" s="5" t="s">
        <v>187</v>
      </c>
      <c r="G5" s="5">
        <v>2025</v>
      </c>
      <c r="H5" s="5"/>
      <c r="I5" s="5">
        <v>1</v>
      </c>
      <c r="J5" s="5">
        <v>0</v>
      </c>
      <c r="K5" s="5" t="s">
        <v>188</v>
      </c>
      <c r="L5" s="5">
        <v>5</v>
      </c>
      <c r="M5" s="5">
        <v>35</v>
      </c>
    </row>
    <row r="6" spans="1:13" ht="45.75" thickTop="1" x14ac:dyDescent="0.25">
      <c r="A6" s="7">
        <v>2023</v>
      </c>
      <c r="B6" s="7" t="s">
        <v>50</v>
      </c>
      <c r="C6" s="7" t="s">
        <v>51</v>
      </c>
      <c r="D6" s="7" t="s">
        <v>182</v>
      </c>
      <c r="E6" s="7" t="s">
        <v>189</v>
      </c>
      <c r="F6" s="7"/>
      <c r="G6" s="7"/>
      <c r="H6" s="7" t="s">
        <v>190</v>
      </c>
      <c r="I6" s="7">
        <v>3</v>
      </c>
      <c r="J6" s="7">
        <v>0</v>
      </c>
      <c r="K6" s="7"/>
      <c r="L6" s="7">
        <v>7</v>
      </c>
      <c r="M6" s="7">
        <v>27</v>
      </c>
    </row>
    <row r="7" spans="1:13" ht="90.75" thickBot="1" x14ac:dyDescent="0.3">
      <c r="A7" s="15">
        <v>2023</v>
      </c>
      <c r="B7" s="15" t="s">
        <v>50</v>
      </c>
      <c r="C7" s="15" t="s">
        <v>51</v>
      </c>
      <c r="D7" s="15" t="s">
        <v>182</v>
      </c>
      <c r="E7" s="15" t="s">
        <v>191</v>
      </c>
      <c r="F7" s="15"/>
      <c r="G7" s="15"/>
      <c r="H7" s="15" t="s">
        <v>190</v>
      </c>
      <c r="I7" s="15">
        <v>2</v>
      </c>
      <c r="J7" s="15">
        <v>2</v>
      </c>
      <c r="K7" s="15" t="s">
        <v>192</v>
      </c>
      <c r="L7" s="15">
        <v>7.1</v>
      </c>
      <c r="M7" s="15">
        <v>27.1</v>
      </c>
    </row>
    <row r="8" spans="1:13" ht="45.75" thickTop="1" x14ac:dyDescent="0.25">
      <c r="A8" s="7">
        <v>2024</v>
      </c>
      <c r="B8" s="7" t="s">
        <v>58</v>
      </c>
      <c r="C8" s="7" t="s">
        <v>59</v>
      </c>
      <c r="D8" s="7" t="s">
        <v>184</v>
      </c>
      <c r="E8" s="7" t="s">
        <v>193</v>
      </c>
      <c r="F8" s="7"/>
      <c r="G8" s="7"/>
      <c r="H8" s="7" t="s">
        <v>190</v>
      </c>
      <c r="I8" s="7">
        <v>2</v>
      </c>
      <c r="J8" s="7">
        <v>2</v>
      </c>
      <c r="K8" s="7"/>
      <c r="L8" s="7">
        <v>8</v>
      </c>
      <c r="M8" s="7">
        <v>43</v>
      </c>
    </row>
    <row r="9" spans="1:13" ht="45.75" thickBot="1" x14ac:dyDescent="0.3">
      <c r="A9" s="15">
        <v>2024</v>
      </c>
      <c r="B9" s="15" t="s">
        <v>58</v>
      </c>
      <c r="C9" s="15" t="s">
        <v>59</v>
      </c>
      <c r="D9" s="15" t="s">
        <v>182</v>
      </c>
      <c r="E9" s="15" t="s">
        <v>194</v>
      </c>
      <c r="F9" s="15"/>
      <c r="G9" s="15"/>
      <c r="H9" s="15" t="s">
        <v>190</v>
      </c>
      <c r="I9" s="15">
        <v>2</v>
      </c>
      <c r="J9" s="15">
        <v>2</v>
      </c>
      <c r="K9" s="15"/>
      <c r="L9" s="15">
        <v>8.1</v>
      </c>
      <c r="M9" s="15">
        <v>43.1</v>
      </c>
    </row>
    <row r="10" spans="1:13" ht="30.75" thickTop="1" x14ac:dyDescent="0.25">
      <c r="A10" s="9">
        <v>2021</v>
      </c>
      <c r="B10" s="9" t="s">
        <v>62</v>
      </c>
      <c r="C10" s="9" t="s">
        <v>63</v>
      </c>
      <c r="D10" s="9" t="s">
        <v>184</v>
      </c>
      <c r="E10" s="9" t="s">
        <v>195</v>
      </c>
      <c r="F10" s="9" t="s">
        <v>181</v>
      </c>
      <c r="G10" s="9"/>
      <c r="H10" s="9"/>
      <c r="I10" s="9">
        <v>1</v>
      </c>
      <c r="J10" s="9"/>
      <c r="K10" s="9"/>
      <c r="L10" s="9">
        <v>9</v>
      </c>
      <c r="M10" s="9">
        <v>5</v>
      </c>
    </row>
    <row r="11" spans="1:13" ht="30.75" thickBot="1" x14ac:dyDescent="0.3">
      <c r="A11" s="23">
        <v>2021</v>
      </c>
      <c r="B11" s="23" t="s">
        <v>62</v>
      </c>
      <c r="C11" s="23" t="s">
        <v>63</v>
      </c>
      <c r="D11" s="23" t="s">
        <v>184</v>
      </c>
      <c r="E11" s="23" t="s">
        <v>196</v>
      </c>
      <c r="F11" s="23" t="s">
        <v>181</v>
      </c>
      <c r="G11" s="23"/>
      <c r="H11" s="23"/>
      <c r="I11" s="23">
        <v>1</v>
      </c>
      <c r="J11" s="23"/>
      <c r="K11" s="23"/>
      <c r="L11" s="23">
        <v>9.1</v>
      </c>
      <c r="M11" s="23">
        <v>5.0999999999999996</v>
      </c>
    </row>
    <row r="12" spans="1:13" ht="91.5" thickTop="1" thickBot="1" x14ac:dyDescent="0.3">
      <c r="A12" s="11">
        <v>2024</v>
      </c>
      <c r="B12" s="11" t="s">
        <v>75</v>
      </c>
      <c r="C12" s="11" t="s">
        <v>76</v>
      </c>
      <c r="D12" s="11" t="s">
        <v>182</v>
      </c>
      <c r="E12" s="11" t="s">
        <v>197</v>
      </c>
      <c r="F12" s="11" t="s">
        <v>198</v>
      </c>
      <c r="G12" s="11">
        <v>2025</v>
      </c>
      <c r="H12" s="11"/>
      <c r="I12" s="11">
        <v>5</v>
      </c>
      <c r="J12" s="11">
        <v>0</v>
      </c>
      <c r="K12" s="11"/>
      <c r="L12" s="11">
        <v>11</v>
      </c>
      <c r="M12" s="11">
        <v>34</v>
      </c>
    </row>
    <row r="13" spans="1:13" ht="61.5" thickTop="1" thickBot="1" x14ac:dyDescent="0.3">
      <c r="A13" s="11">
        <v>2023</v>
      </c>
      <c r="B13" s="11" t="s">
        <v>75</v>
      </c>
      <c r="C13" s="11" t="s">
        <v>81</v>
      </c>
      <c r="D13" s="11" t="s">
        <v>182</v>
      </c>
      <c r="E13" s="11" t="s">
        <v>199</v>
      </c>
      <c r="F13" s="11" t="s">
        <v>200</v>
      </c>
      <c r="G13" s="11">
        <v>2024</v>
      </c>
      <c r="H13" s="11"/>
      <c r="I13" s="11">
        <v>2</v>
      </c>
      <c r="J13" s="11">
        <v>0</v>
      </c>
      <c r="K13" s="11"/>
      <c r="L13" s="11">
        <v>12</v>
      </c>
      <c r="M13" s="11">
        <v>21</v>
      </c>
    </row>
    <row r="14" spans="1:13" ht="45.75" thickTop="1" x14ac:dyDescent="0.25">
      <c r="A14" s="13">
        <v>2023</v>
      </c>
      <c r="B14" s="13" t="s">
        <v>82</v>
      </c>
      <c r="C14" s="13" t="s">
        <v>88</v>
      </c>
      <c r="D14" s="13" t="s">
        <v>201</v>
      </c>
      <c r="E14" s="13" t="s">
        <v>202</v>
      </c>
      <c r="F14" s="13" t="s">
        <v>203</v>
      </c>
      <c r="G14" s="13">
        <v>2024</v>
      </c>
      <c r="H14" s="13"/>
      <c r="I14" s="13">
        <v>1</v>
      </c>
      <c r="J14" s="13">
        <v>4</v>
      </c>
      <c r="K14" s="13"/>
      <c r="L14" s="13">
        <v>14</v>
      </c>
      <c r="M14" s="13">
        <v>29</v>
      </c>
    </row>
    <row r="15" spans="1:13" ht="45" x14ac:dyDescent="0.25">
      <c r="A15" s="17">
        <v>2023</v>
      </c>
      <c r="B15" s="17" t="s">
        <v>82</v>
      </c>
      <c r="C15" s="17" t="s">
        <v>88</v>
      </c>
      <c r="D15" s="17" t="s">
        <v>182</v>
      </c>
      <c r="E15" s="17" t="s">
        <v>204</v>
      </c>
      <c r="F15" s="17"/>
      <c r="G15" s="17"/>
      <c r="H15" s="17" t="s">
        <v>190</v>
      </c>
      <c r="I15" s="17">
        <v>1</v>
      </c>
      <c r="J15" s="17">
        <v>4</v>
      </c>
      <c r="K15" s="17"/>
      <c r="L15" s="17">
        <v>14.1</v>
      </c>
      <c r="M15" s="17">
        <v>29.1</v>
      </c>
    </row>
    <row r="16" spans="1:13" ht="45.75" thickBot="1" x14ac:dyDescent="0.3">
      <c r="A16" s="17">
        <v>2023</v>
      </c>
      <c r="B16" s="17" t="s">
        <v>82</v>
      </c>
      <c r="C16" s="17" t="s">
        <v>88</v>
      </c>
      <c r="D16" s="17" t="s">
        <v>182</v>
      </c>
      <c r="E16" s="17" t="s">
        <v>205</v>
      </c>
      <c r="F16" s="17"/>
      <c r="G16" s="17"/>
      <c r="H16" s="17" t="s">
        <v>190</v>
      </c>
      <c r="I16" s="17">
        <v>1</v>
      </c>
      <c r="J16" s="17">
        <v>4</v>
      </c>
      <c r="K16" s="17"/>
      <c r="L16" s="17">
        <v>14.2</v>
      </c>
      <c r="M16" s="17">
        <v>29.2</v>
      </c>
    </row>
    <row r="17" spans="1:13" ht="46.5" thickTop="1" thickBot="1" x14ac:dyDescent="0.3">
      <c r="A17" s="3">
        <v>2021</v>
      </c>
      <c r="B17" s="3" t="s">
        <v>90</v>
      </c>
      <c r="C17" s="3" t="s">
        <v>91</v>
      </c>
      <c r="D17" s="3" t="s">
        <v>184</v>
      </c>
      <c r="E17" s="3"/>
      <c r="F17" s="3" t="s">
        <v>181</v>
      </c>
      <c r="G17" s="3"/>
      <c r="H17" s="3"/>
      <c r="I17" s="3">
        <v>1</v>
      </c>
      <c r="J17" s="3">
        <v>0</v>
      </c>
      <c r="K17" s="3" t="s">
        <v>206</v>
      </c>
      <c r="L17" s="3">
        <v>15</v>
      </c>
      <c r="M17" s="3">
        <v>2</v>
      </c>
    </row>
    <row r="18" spans="1:13" ht="60.75" thickTop="1" x14ac:dyDescent="0.25">
      <c r="A18" s="5">
        <v>2022</v>
      </c>
      <c r="B18" s="5" t="s">
        <v>95</v>
      </c>
      <c r="C18" s="5" t="s">
        <v>96</v>
      </c>
      <c r="D18" s="5" t="s">
        <v>182</v>
      </c>
      <c r="E18" s="5" t="s">
        <v>207</v>
      </c>
      <c r="F18" s="5" t="s">
        <v>208</v>
      </c>
      <c r="G18" s="5">
        <v>2023</v>
      </c>
      <c r="H18" s="5"/>
      <c r="I18" s="5">
        <v>1</v>
      </c>
      <c r="J18" s="5">
        <v>0</v>
      </c>
      <c r="K18" s="5"/>
      <c r="L18" s="5">
        <v>16</v>
      </c>
      <c r="M18" s="5">
        <v>12</v>
      </c>
    </row>
    <row r="19" spans="1:13" ht="60" x14ac:dyDescent="0.25">
      <c r="A19" s="19">
        <v>2022</v>
      </c>
      <c r="B19" s="19" t="s">
        <v>95</v>
      </c>
      <c r="C19" s="19" t="s">
        <v>96</v>
      </c>
      <c r="D19" s="19" t="s">
        <v>182</v>
      </c>
      <c r="E19" s="19" t="s">
        <v>209</v>
      </c>
      <c r="F19" s="19"/>
      <c r="G19" s="19"/>
      <c r="H19" s="19" t="s">
        <v>190</v>
      </c>
      <c r="I19" s="19">
        <v>1</v>
      </c>
      <c r="J19" s="19">
        <v>0</v>
      </c>
      <c r="K19" s="19"/>
      <c r="L19" s="19">
        <v>16.100000000000001</v>
      </c>
      <c r="M19" s="19">
        <v>12.1</v>
      </c>
    </row>
    <row r="20" spans="1:13" ht="60.75" thickBot="1" x14ac:dyDescent="0.3">
      <c r="A20" s="19">
        <v>2022</v>
      </c>
      <c r="B20" s="19" t="s">
        <v>95</v>
      </c>
      <c r="C20" s="19" t="s">
        <v>96</v>
      </c>
      <c r="D20" s="19" t="s">
        <v>210</v>
      </c>
      <c r="E20" s="19" t="s">
        <v>211</v>
      </c>
      <c r="F20" s="19" t="s">
        <v>212</v>
      </c>
      <c r="G20" s="19">
        <v>2022</v>
      </c>
      <c r="H20" s="19" t="s">
        <v>213</v>
      </c>
      <c r="I20" s="19">
        <v>1</v>
      </c>
      <c r="J20" s="19">
        <v>0</v>
      </c>
      <c r="K20" s="19"/>
      <c r="L20" s="19">
        <v>16.2</v>
      </c>
      <c r="M20" s="19">
        <v>12.2</v>
      </c>
    </row>
    <row r="21" spans="1:13" ht="75.75" thickTop="1" x14ac:dyDescent="0.25">
      <c r="A21" s="5">
        <v>2023</v>
      </c>
      <c r="B21" s="5" t="s">
        <v>95</v>
      </c>
      <c r="C21" s="5" t="s">
        <v>98</v>
      </c>
      <c r="D21" s="5" t="s">
        <v>182</v>
      </c>
      <c r="E21" s="5" t="s">
        <v>214</v>
      </c>
      <c r="F21" s="5" t="s">
        <v>208</v>
      </c>
      <c r="G21" s="5">
        <v>2023</v>
      </c>
      <c r="H21" s="5"/>
      <c r="I21" s="5">
        <v>1</v>
      </c>
      <c r="J21" s="5">
        <v>0</v>
      </c>
      <c r="K21" s="5"/>
      <c r="L21" s="5">
        <v>17</v>
      </c>
      <c r="M21" s="5">
        <v>24</v>
      </c>
    </row>
    <row r="22" spans="1:13" ht="60" x14ac:dyDescent="0.25">
      <c r="A22" s="19">
        <v>2023</v>
      </c>
      <c r="B22" s="19" t="s">
        <v>95</v>
      </c>
      <c r="C22" s="19" t="s">
        <v>98</v>
      </c>
      <c r="D22" s="19" t="s">
        <v>210</v>
      </c>
      <c r="E22" s="19" t="s">
        <v>215</v>
      </c>
      <c r="F22" s="19" t="s">
        <v>216</v>
      </c>
      <c r="G22" s="19">
        <v>2022</v>
      </c>
      <c r="H22" s="19"/>
      <c r="I22" s="19">
        <v>1</v>
      </c>
      <c r="J22" s="19">
        <v>0</v>
      </c>
      <c r="K22" s="19"/>
      <c r="L22" s="19">
        <v>17.100000000000001</v>
      </c>
      <c r="M22" s="19">
        <v>24.1</v>
      </c>
    </row>
    <row r="23" spans="1:13" ht="60" x14ac:dyDescent="0.25">
      <c r="A23" s="19">
        <v>2023</v>
      </c>
      <c r="B23" s="19" t="s">
        <v>95</v>
      </c>
      <c r="C23" s="19" t="s">
        <v>98</v>
      </c>
      <c r="D23" s="19" t="s">
        <v>179</v>
      </c>
      <c r="E23" s="19" t="s">
        <v>217</v>
      </c>
      <c r="F23" s="19"/>
      <c r="G23" s="19">
        <v>2024</v>
      </c>
      <c r="H23" s="19" t="s">
        <v>213</v>
      </c>
      <c r="I23" s="19">
        <v>1</v>
      </c>
      <c r="J23" s="19">
        <v>0</v>
      </c>
      <c r="K23" s="19"/>
      <c r="L23" s="19">
        <v>17.2</v>
      </c>
      <c r="M23" s="19">
        <v>24.2</v>
      </c>
    </row>
    <row r="24" spans="1:13" ht="60" x14ac:dyDescent="0.25">
      <c r="A24" s="19">
        <v>2023</v>
      </c>
      <c r="B24" s="19" t="s">
        <v>95</v>
      </c>
      <c r="C24" s="19" t="s">
        <v>98</v>
      </c>
      <c r="D24" s="19" t="s">
        <v>182</v>
      </c>
      <c r="E24" s="19" t="s">
        <v>218</v>
      </c>
      <c r="F24" s="19"/>
      <c r="G24" s="19"/>
      <c r="H24" s="19" t="s">
        <v>219</v>
      </c>
      <c r="I24" s="19">
        <v>1</v>
      </c>
      <c r="J24" s="19">
        <v>0</v>
      </c>
      <c r="K24" s="19"/>
      <c r="L24" s="19">
        <v>17.3</v>
      </c>
      <c r="M24" s="19">
        <v>24.3</v>
      </c>
    </row>
    <row r="25" spans="1:13" ht="60.75" thickBot="1" x14ac:dyDescent="0.3">
      <c r="A25" s="19">
        <v>2023</v>
      </c>
      <c r="B25" s="19" t="s">
        <v>95</v>
      </c>
      <c r="C25" s="19" t="s">
        <v>98</v>
      </c>
      <c r="D25" s="19" t="s">
        <v>182</v>
      </c>
      <c r="E25" s="19" t="s">
        <v>220</v>
      </c>
      <c r="F25" s="19"/>
      <c r="G25" s="19"/>
      <c r="H25" s="19" t="s">
        <v>221</v>
      </c>
      <c r="I25" s="19">
        <v>1</v>
      </c>
      <c r="J25" s="19">
        <v>0</v>
      </c>
      <c r="K25" s="19"/>
      <c r="L25" s="19">
        <v>17.399999999999999</v>
      </c>
      <c r="M25" s="19">
        <v>24.4</v>
      </c>
    </row>
    <row r="26" spans="1:13" ht="60.75" thickTop="1" x14ac:dyDescent="0.25">
      <c r="A26" s="5">
        <v>2024</v>
      </c>
      <c r="B26" s="5" t="s">
        <v>100</v>
      </c>
      <c r="C26" s="5" t="s">
        <v>98</v>
      </c>
      <c r="D26" s="5" t="s">
        <v>179</v>
      </c>
      <c r="E26" s="5" t="s">
        <v>222</v>
      </c>
      <c r="F26" s="5" t="s">
        <v>223</v>
      </c>
      <c r="G26" s="5">
        <v>2024</v>
      </c>
      <c r="H26" s="5"/>
      <c r="I26" s="5">
        <v>1</v>
      </c>
      <c r="J26" s="5">
        <v>0</v>
      </c>
      <c r="K26" s="5"/>
      <c r="L26" s="5">
        <v>18</v>
      </c>
      <c r="M26" s="5">
        <v>41</v>
      </c>
    </row>
    <row r="27" spans="1:13" ht="60.75" thickBot="1" x14ac:dyDescent="0.3">
      <c r="A27" s="19">
        <v>2024</v>
      </c>
      <c r="B27" s="19" t="s">
        <v>100</v>
      </c>
      <c r="C27" s="19" t="s">
        <v>98</v>
      </c>
      <c r="D27" s="19" t="s">
        <v>182</v>
      </c>
      <c r="E27" s="19" t="s">
        <v>224</v>
      </c>
      <c r="F27" s="19" t="s">
        <v>225</v>
      </c>
      <c r="G27" s="19">
        <v>2025</v>
      </c>
      <c r="H27" s="19"/>
      <c r="I27" s="19">
        <v>1</v>
      </c>
      <c r="J27" s="19">
        <v>0</v>
      </c>
      <c r="K27" s="19"/>
      <c r="L27" s="19">
        <v>18.100000000000001</v>
      </c>
      <c r="M27" s="19">
        <v>41.1</v>
      </c>
    </row>
    <row r="28" spans="1:13" ht="61.5" thickTop="1" thickBot="1" x14ac:dyDescent="0.3">
      <c r="A28" s="7">
        <v>2024</v>
      </c>
      <c r="B28" s="7" t="s">
        <v>102</v>
      </c>
      <c r="C28" s="7" t="s">
        <v>103</v>
      </c>
      <c r="D28" s="7" t="s">
        <v>179</v>
      </c>
      <c r="E28" s="7" t="s">
        <v>226</v>
      </c>
      <c r="F28" s="7" t="s">
        <v>187</v>
      </c>
      <c r="G28" s="7">
        <v>2025</v>
      </c>
      <c r="H28" s="7"/>
      <c r="I28" s="7">
        <v>1</v>
      </c>
      <c r="J28" s="7">
        <v>0</v>
      </c>
      <c r="K28" s="7"/>
      <c r="L28" s="7">
        <v>19</v>
      </c>
      <c r="M28" s="7">
        <v>39</v>
      </c>
    </row>
    <row r="29" spans="1:13" ht="61.5" thickTop="1" thickBot="1" x14ac:dyDescent="0.3">
      <c r="A29" s="9">
        <v>2022</v>
      </c>
      <c r="B29" s="9" t="s">
        <v>104</v>
      </c>
      <c r="C29" s="9" t="s">
        <v>105</v>
      </c>
      <c r="D29" s="9" t="s">
        <v>179</v>
      </c>
      <c r="E29" s="9"/>
      <c r="F29" s="9"/>
      <c r="G29" s="9">
        <v>2023</v>
      </c>
      <c r="H29" s="9" t="s">
        <v>190</v>
      </c>
      <c r="I29" s="9">
        <v>0</v>
      </c>
      <c r="J29" s="9">
        <v>0</v>
      </c>
      <c r="K29" s="9"/>
      <c r="L29" s="9">
        <v>20</v>
      </c>
      <c r="M29" s="9">
        <v>8</v>
      </c>
    </row>
    <row r="30" spans="1:13" ht="76.5" thickTop="1" thickBot="1" x14ac:dyDescent="0.3">
      <c r="A30" s="11">
        <v>2024</v>
      </c>
      <c r="B30" s="11" t="s">
        <v>109</v>
      </c>
      <c r="C30" s="11" t="s">
        <v>112</v>
      </c>
      <c r="D30" s="11" t="s">
        <v>182</v>
      </c>
      <c r="E30" s="11" t="s">
        <v>227</v>
      </c>
      <c r="F30" s="11" t="s">
        <v>228</v>
      </c>
      <c r="G30" s="11">
        <v>2025</v>
      </c>
      <c r="H30" s="11"/>
      <c r="I30" s="11">
        <v>1</v>
      </c>
      <c r="J30" s="11">
        <v>0</v>
      </c>
      <c r="K30" s="11"/>
      <c r="L30" s="11">
        <v>22</v>
      </c>
      <c r="M30" s="11">
        <v>33</v>
      </c>
    </row>
    <row r="31" spans="1:13" ht="61.5" thickTop="1" thickBot="1" x14ac:dyDescent="0.3">
      <c r="A31" s="13">
        <v>2021</v>
      </c>
      <c r="B31" s="13" t="s">
        <v>113</v>
      </c>
      <c r="C31" s="13" t="s">
        <v>114</v>
      </c>
      <c r="D31" s="13" t="s">
        <v>184</v>
      </c>
      <c r="E31" s="13"/>
      <c r="F31" s="13" t="s">
        <v>181</v>
      </c>
      <c r="G31" s="13"/>
      <c r="H31" s="13"/>
      <c r="I31" s="13">
        <v>1</v>
      </c>
      <c r="J31" s="13"/>
      <c r="K31" s="13"/>
      <c r="L31" s="13">
        <v>23</v>
      </c>
      <c r="M31" s="13">
        <v>3</v>
      </c>
    </row>
    <row r="32" spans="1:13" ht="46.5" thickTop="1" thickBot="1" x14ac:dyDescent="0.3">
      <c r="A32" s="3">
        <v>2022</v>
      </c>
      <c r="B32" s="3" t="s">
        <v>120</v>
      </c>
      <c r="C32" s="3" t="s">
        <v>121</v>
      </c>
      <c r="D32" s="3" t="s">
        <v>179</v>
      </c>
      <c r="E32" s="3"/>
      <c r="F32" s="3"/>
      <c r="G32" s="3"/>
      <c r="H32" s="3" t="s">
        <v>190</v>
      </c>
      <c r="I32" s="3"/>
      <c r="J32" s="3"/>
      <c r="K32" s="3"/>
      <c r="L32" s="3">
        <v>24</v>
      </c>
      <c r="M32" s="3">
        <v>13</v>
      </c>
    </row>
    <row r="33" spans="1:13" ht="46.5" thickTop="1" thickBot="1" x14ac:dyDescent="0.3">
      <c r="A33" s="5">
        <v>2023</v>
      </c>
      <c r="B33" s="5" t="s">
        <v>126</v>
      </c>
      <c r="C33" s="5" t="s">
        <v>127</v>
      </c>
      <c r="D33" s="5" t="s">
        <v>184</v>
      </c>
      <c r="E33" s="5"/>
      <c r="F33" s="5"/>
      <c r="G33" s="5"/>
      <c r="H33" s="5" t="s">
        <v>190</v>
      </c>
      <c r="I33" s="5">
        <v>3</v>
      </c>
      <c r="J33" s="5">
        <v>0</v>
      </c>
      <c r="K33" s="5"/>
      <c r="L33" s="5">
        <v>27</v>
      </c>
      <c r="M33" s="5">
        <v>19</v>
      </c>
    </row>
    <row r="34" spans="1:13" ht="60.75" thickTop="1" x14ac:dyDescent="0.25">
      <c r="A34" s="7">
        <v>2022</v>
      </c>
      <c r="B34" s="7" t="s">
        <v>131</v>
      </c>
      <c r="C34" s="7" t="s">
        <v>132</v>
      </c>
      <c r="D34" s="7" t="s">
        <v>229</v>
      </c>
      <c r="E34" s="7"/>
      <c r="F34" s="7"/>
      <c r="G34" s="7"/>
      <c r="H34" s="7" t="s">
        <v>190</v>
      </c>
      <c r="I34" s="7"/>
      <c r="J34" s="7"/>
      <c r="K34" s="7"/>
      <c r="L34" s="7">
        <v>29</v>
      </c>
      <c r="M34" s="7">
        <v>10</v>
      </c>
    </row>
    <row r="35" spans="1:13" ht="60.75" thickBot="1" x14ac:dyDescent="0.3">
      <c r="A35" s="15">
        <v>2022</v>
      </c>
      <c r="B35" s="15" t="s">
        <v>131</v>
      </c>
      <c r="C35" s="15" t="s">
        <v>132</v>
      </c>
      <c r="D35" s="15" t="s">
        <v>182</v>
      </c>
      <c r="E35" s="15"/>
      <c r="F35" s="15"/>
      <c r="G35" s="15"/>
      <c r="H35" s="15" t="s">
        <v>190</v>
      </c>
      <c r="I35" s="15"/>
      <c r="J35" s="15"/>
      <c r="K35" s="15"/>
      <c r="L35" s="15">
        <v>29.1</v>
      </c>
      <c r="M35" s="15">
        <v>10.1</v>
      </c>
    </row>
    <row r="36" spans="1:13" ht="45.75" thickTop="1" x14ac:dyDescent="0.25">
      <c r="A36" s="9">
        <v>2023</v>
      </c>
      <c r="B36" s="9" t="s">
        <v>135</v>
      </c>
      <c r="C36" s="9" t="s">
        <v>136</v>
      </c>
      <c r="D36" s="9" t="s">
        <v>179</v>
      </c>
      <c r="E36" s="9" t="s">
        <v>230</v>
      </c>
      <c r="F36" s="9" t="s">
        <v>231</v>
      </c>
      <c r="G36" s="9">
        <v>2022</v>
      </c>
      <c r="H36" s="9"/>
      <c r="I36" s="9">
        <v>1</v>
      </c>
      <c r="J36" s="9">
        <v>0</v>
      </c>
      <c r="K36" s="9"/>
      <c r="L36" s="9">
        <v>31</v>
      </c>
      <c r="M36" s="9">
        <v>26</v>
      </c>
    </row>
    <row r="37" spans="1:13" ht="45.75" thickBot="1" x14ac:dyDescent="0.3">
      <c r="A37" s="23">
        <v>2023</v>
      </c>
      <c r="B37" s="23" t="s">
        <v>135</v>
      </c>
      <c r="C37" s="23" t="s">
        <v>136</v>
      </c>
      <c r="D37" s="23" t="s">
        <v>182</v>
      </c>
      <c r="E37" s="23" t="s">
        <v>232</v>
      </c>
      <c r="F37" s="23"/>
      <c r="G37" s="23"/>
      <c r="H37" s="23" t="s">
        <v>219</v>
      </c>
      <c r="I37" s="23">
        <v>2</v>
      </c>
      <c r="J37" s="23">
        <v>0</v>
      </c>
      <c r="K37" s="23"/>
      <c r="L37" s="23">
        <v>31.1</v>
      </c>
      <c r="M37" s="23">
        <v>26.1</v>
      </c>
    </row>
    <row r="38" spans="1:13" ht="60.75" thickTop="1" x14ac:dyDescent="0.25">
      <c r="A38" s="9">
        <v>2024</v>
      </c>
      <c r="B38" s="9" t="s">
        <v>139</v>
      </c>
      <c r="C38" s="9" t="s">
        <v>140</v>
      </c>
      <c r="D38" s="9" t="s">
        <v>182</v>
      </c>
      <c r="E38" s="9" t="s">
        <v>233</v>
      </c>
      <c r="F38" s="9" t="s">
        <v>234</v>
      </c>
      <c r="G38" s="9">
        <v>2025</v>
      </c>
      <c r="H38" s="9"/>
      <c r="I38" s="9">
        <v>2</v>
      </c>
      <c r="J38" s="9">
        <v>0</v>
      </c>
      <c r="K38" s="9"/>
      <c r="L38" s="9">
        <v>32</v>
      </c>
      <c r="M38" s="9">
        <v>42</v>
      </c>
    </row>
    <row r="39" spans="1:13" ht="60.75" thickBot="1" x14ac:dyDescent="0.3">
      <c r="A39" s="23">
        <v>2024</v>
      </c>
      <c r="B39" s="23" t="s">
        <v>139</v>
      </c>
      <c r="C39" s="23" t="s">
        <v>140</v>
      </c>
      <c r="D39" s="23" t="s">
        <v>182</v>
      </c>
      <c r="E39" s="23" t="s">
        <v>235</v>
      </c>
      <c r="F39" s="23"/>
      <c r="G39" s="23"/>
      <c r="H39" s="23" t="s">
        <v>219</v>
      </c>
      <c r="I39" s="23">
        <v>2</v>
      </c>
      <c r="J39" s="23">
        <v>0</v>
      </c>
      <c r="K39" s="23"/>
      <c r="L39" s="23">
        <v>32.1</v>
      </c>
      <c r="M39" s="23">
        <v>42.1</v>
      </c>
    </row>
    <row r="40" spans="1:13" ht="75.75" thickTop="1" x14ac:dyDescent="0.25">
      <c r="A40" s="11">
        <v>2022</v>
      </c>
      <c r="B40" s="11" t="s">
        <v>141</v>
      </c>
      <c r="C40" s="11" t="s">
        <v>142</v>
      </c>
      <c r="D40" s="11" t="s">
        <v>182</v>
      </c>
      <c r="E40" s="11" t="s">
        <v>236</v>
      </c>
      <c r="F40" s="11" t="s">
        <v>237</v>
      </c>
      <c r="G40" s="11">
        <v>2023</v>
      </c>
      <c r="H40" s="11"/>
      <c r="I40" s="11">
        <v>1</v>
      </c>
      <c r="J40" s="11">
        <v>0</v>
      </c>
      <c r="K40" s="11"/>
      <c r="L40" s="11">
        <v>33</v>
      </c>
      <c r="M40" s="11">
        <v>17</v>
      </c>
    </row>
    <row r="41" spans="1:13" ht="60" x14ac:dyDescent="0.25">
      <c r="A41" s="16">
        <v>2022</v>
      </c>
      <c r="B41" s="16" t="s">
        <v>141</v>
      </c>
      <c r="C41" s="16" t="s">
        <v>142</v>
      </c>
      <c r="D41" s="16" t="s">
        <v>182</v>
      </c>
      <c r="E41" s="16" t="s">
        <v>238</v>
      </c>
      <c r="F41" s="16" t="s">
        <v>239</v>
      </c>
      <c r="G41" s="16"/>
      <c r="H41" s="16" t="s">
        <v>221</v>
      </c>
      <c r="I41" s="16">
        <v>0</v>
      </c>
      <c r="J41" s="16">
        <v>0</v>
      </c>
      <c r="K41" s="16"/>
      <c r="L41" s="16">
        <v>33.1</v>
      </c>
      <c r="M41" s="16">
        <v>17.100000000000001</v>
      </c>
    </row>
    <row r="42" spans="1:13" ht="60" x14ac:dyDescent="0.25">
      <c r="A42" s="16">
        <v>2022</v>
      </c>
      <c r="B42" s="16" t="s">
        <v>141</v>
      </c>
      <c r="C42" s="16" t="s">
        <v>142</v>
      </c>
      <c r="D42" s="16" t="s">
        <v>182</v>
      </c>
      <c r="E42" s="16" t="s">
        <v>240</v>
      </c>
      <c r="F42" s="16"/>
      <c r="G42" s="16"/>
      <c r="H42" s="16" t="s">
        <v>190</v>
      </c>
      <c r="I42" s="16">
        <v>1</v>
      </c>
      <c r="J42" s="16">
        <v>3</v>
      </c>
      <c r="K42" s="16"/>
      <c r="L42" s="16">
        <v>33.200000000000003</v>
      </c>
      <c r="M42" s="16">
        <v>17.2</v>
      </c>
    </row>
    <row r="43" spans="1:13" ht="45" x14ac:dyDescent="0.25">
      <c r="A43" s="16">
        <v>2022</v>
      </c>
      <c r="B43" s="16" t="s">
        <v>141</v>
      </c>
      <c r="C43" s="16" t="s">
        <v>142</v>
      </c>
      <c r="D43" s="16" t="s">
        <v>201</v>
      </c>
      <c r="E43" s="16" t="s">
        <v>241</v>
      </c>
      <c r="F43" s="16" t="s">
        <v>242</v>
      </c>
      <c r="G43" s="16">
        <v>2023</v>
      </c>
      <c r="H43" s="16" t="s">
        <v>213</v>
      </c>
      <c r="I43" s="16">
        <v>1</v>
      </c>
      <c r="J43" s="16">
        <v>0</v>
      </c>
      <c r="K43" s="16"/>
      <c r="L43" s="16">
        <v>33.299999999999997</v>
      </c>
      <c r="M43" s="16">
        <v>17.3</v>
      </c>
    </row>
    <row r="44" spans="1:13" ht="45" x14ac:dyDescent="0.25">
      <c r="A44" s="16">
        <v>2022</v>
      </c>
      <c r="B44" s="16" t="s">
        <v>141</v>
      </c>
      <c r="C44" s="16" t="s">
        <v>142</v>
      </c>
      <c r="D44" s="16" t="s">
        <v>201</v>
      </c>
      <c r="E44" s="16" t="s">
        <v>243</v>
      </c>
      <c r="F44" s="16" t="s">
        <v>244</v>
      </c>
      <c r="G44" s="16">
        <v>2023</v>
      </c>
      <c r="H44" s="16" t="s">
        <v>213</v>
      </c>
      <c r="I44" s="16">
        <v>0</v>
      </c>
      <c r="J44" s="16">
        <v>0</v>
      </c>
      <c r="K44" s="16"/>
      <c r="L44" s="16">
        <v>33.4</v>
      </c>
      <c r="M44" s="16">
        <v>17.399999999999999</v>
      </c>
    </row>
    <row r="45" spans="1:13" ht="90" x14ac:dyDescent="0.25">
      <c r="A45" s="16">
        <v>2022</v>
      </c>
      <c r="B45" s="16" t="s">
        <v>141</v>
      </c>
      <c r="C45" s="16" t="s">
        <v>142</v>
      </c>
      <c r="D45" s="16" t="s">
        <v>201</v>
      </c>
      <c r="E45" s="16" t="s">
        <v>245</v>
      </c>
      <c r="F45" s="16" t="s">
        <v>246</v>
      </c>
      <c r="G45" s="16">
        <v>2023</v>
      </c>
      <c r="H45" s="16" t="s">
        <v>190</v>
      </c>
      <c r="I45" s="16">
        <v>1</v>
      </c>
      <c r="J45" s="16">
        <v>3</v>
      </c>
      <c r="K45" s="16"/>
      <c r="L45" s="16">
        <v>33.5</v>
      </c>
      <c r="M45" s="16">
        <v>17.5</v>
      </c>
    </row>
    <row r="46" spans="1:13" ht="90.75" thickBot="1" x14ac:dyDescent="0.3">
      <c r="A46" s="16">
        <v>2022</v>
      </c>
      <c r="B46" s="16" t="s">
        <v>141</v>
      </c>
      <c r="C46" s="16" t="s">
        <v>142</v>
      </c>
      <c r="D46" s="16" t="s">
        <v>201</v>
      </c>
      <c r="E46" s="16" t="s">
        <v>245</v>
      </c>
      <c r="F46" s="16" t="s">
        <v>246</v>
      </c>
      <c r="G46" s="16">
        <v>2023</v>
      </c>
      <c r="H46" s="16" t="s">
        <v>190</v>
      </c>
      <c r="I46" s="16">
        <v>1</v>
      </c>
      <c r="J46" s="16">
        <v>3</v>
      </c>
      <c r="K46" s="16"/>
      <c r="L46" s="16">
        <v>33.6</v>
      </c>
      <c r="M46" s="16">
        <v>17.600000000000001</v>
      </c>
    </row>
    <row r="47" spans="1:13" ht="75.75" thickTop="1" x14ac:dyDescent="0.25">
      <c r="A47" s="11">
        <v>2023</v>
      </c>
      <c r="B47" s="11" t="s">
        <v>141</v>
      </c>
      <c r="C47" s="11" t="s">
        <v>142</v>
      </c>
      <c r="D47" s="11" t="s">
        <v>182</v>
      </c>
      <c r="E47" s="11" t="s">
        <v>247</v>
      </c>
      <c r="F47" s="11" t="s">
        <v>237</v>
      </c>
      <c r="G47" s="11">
        <v>2023</v>
      </c>
      <c r="H47" s="11"/>
      <c r="I47" s="11">
        <v>1</v>
      </c>
      <c r="J47" s="11">
        <v>0</v>
      </c>
      <c r="K47" s="11"/>
      <c r="L47" s="11">
        <v>34</v>
      </c>
      <c r="M47" s="11">
        <v>23</v>
      </c>
    </row>
    <row r="48" spans="1:13" ht="75" x14ac:dyDescent="0.25">
      <c r="A48" s="16">
        <v>2023</v>
      </c>
      <c r="B48" s="16" t="s">
        <v>141</v>
      </c>
      <c r="C48" s="16" t="s">
        <v>142</v>
      </c>
      <c r="D48" s="16" t="s">
        <v>182</v>
      </c>
      <c r="E48" s="16" t="s">
        <v>248</v>
      </c>
      <c r="F48" s="16" t="s">
        <v>249</v>
      </c>
      <c r="G48" s="16">
        <v>2024</v>
      </c>
      <c r="H48" s="16"/>
      <c r="I48" s="16">
        <v>0</v>
      </c>
      <c r="J48" s="16">
        <v>0</v>
      </c>
      <c r="K48" s="16"/>
      <c r="L48" s="16">
        <v>34.1</v>
      </c>
      <c r="M48" s="16">
        <v>23.1</v>
      </c>
    </row>
    <row r="49" spans="1:13" ht="90" x14ac:dyDescent="0.25">
      <c r="A49" s="16">
        <v>2023</v>
      </c>
      <c r="B49" s="16" t="s">
        <v>141</v>
      </c>
      <c r="C49" s="16" t="s">
        <v>142</v>
      </c>
      <c r="D49" s="16" t="s">
        <v>182</v>
      </c>
      <c r="E49" s="16" t="s">
        <v>250</v>
      </c>
      <c r="F49" s="16" t="s">
        <v>251</v>
      </c>
      <c r="G49" s="16">
        <v>2024</v>
      </c>
      <c r="H49" s="16"/>
      <c r="I49" s="16">
        <v>1</v>
      </c>
      <c r="J49" s="16">
        <v>3</v>
      </c>
      <c r="K49" s="16"/>
      <c r="L49" s="16">
        <v>34.200000000000003</v>
      </c>
      <c r="M49" s="16">
        <v>23.2</v>
      </c>
    </row>
    <row r="50" spans="1:13" ht="45" x14ac:dyDescent="0.25">
      <c r="A50" s="16">
        <v>2023</v>
      </c>
      <c r="B50" s="16" t="s">
        <v>141</v>
      </c>
      <c r="C50" s="16" t="s">
        <v>142</v>
      </c>
      <c r="D50" s="16" t="s">
        <v>201</v>
      </c>
      <c r="E50" s="16" t="s">
        <v>252</v>
      </c>
      <c r="F50" s="16" t="s">
        <v>253</v>
      </c>
      <c r="G50" s="16">
        <v>2023</v>
      </c>
      <c r="H50" s="16"/>
      <c r="I50" s="16">
        <v>1</v>
      </c>
      <c r="J50" s="16">
        <v>0</v>
      </c>
      <c r="K50" s="16"/>
      <c r="L50" s="16">
        <v>34.299999999999997</v>
      </c>
      <c r="M50" s="16">
        <v>23.3</v>
      </c>
    </row>
    <row r="51" spans="1:13" ht="60" x14ac:dyDescent="0.25">
      <c r="A51" s="16">
        <v>2023</v>
      </c>
      <c r="B51" s="16" t="s">
        <v>141</v>
      </c>
      <c r="C51" s="16" t="s">
        <v>142</v>
      </c>
      <c r="D51" s="16" t="s">
        <v>201</v>
      </c>
      <c r="E51" s="16" t="s">
        <v>254</v>
      </c>
      <c r="F51" s="16" t="s">
        <v>255</v>
      </c>
      <c r="G51" s="16">
        <v>2023</v>
      </c>
      <c r="H51" s="16"/>
      <c r="I51" s="16">
        <v>0</v>
      </c>
      <c r="J51" s="16">
        <v>0</v>
      </c>
      <c r="K51" s="16"/>
      <c r="L51" s="16">
        <v>34.4</v>
      </c>
      <c r="M51" s="16">
        <v>23.4</v>
      </c>
    </row>
    <row r="52" spans="1:13" ht="75" x14ac:dyDescent="0.25">
      <c r="A52" s="16">
        <v>2023</v>
      </c>
      <c r="B52" s="16" t="s">
        <v>141</v>
      </c>
      <c r="C52" s="16" t="s">
        <v>142</v>
      </c>
      <c r="D52" s="16" t="s">
        <v>182</v>
      </c>
      <c r="E52" s="16" t="s">
        <v>256</v>
      </c>
      <c r="F52" s="16"/>
      <c r="G52" s="16"/>
      <c r="H52" s="16" t="s">
        <v>219</v>
      </c>
      <c r="I52" s="16">
        <v>1</v>
      </c>
      <c r="J52" s="16">
        <v>3</v>
      </c>
      <c r="K52" s="16"/>
      <c r="L52" s="16">
        <v>34.5</v>
      </c>
      <c r="M52" s="16">
        <v>23.5</v>
      </c>
    </row>
    <row r="53" spans="1:13" ht="105.75" thickBot="1" x14ac:dyDescent="0.3">
      <c r="A53" s="16">
        <v>2023</v>
      </c>
      <c r="B53" s="16" t="s">
        <v>141</v>
      </c>
      <c r="C53" s="16" t="s">
        <v>142</v>
      </c>
      <c r="D53" s="16" t="s">
        <v>201</v>
      </c>
      <c r="E53" s="16" t="s">
        <v>257</v>
      </c>
      <c r="F53" s="16" t="s">
        <v>258</v>
      </c>
      <c r="G53" s="16">
        <v>2023</v>
      </c>
      <c r="H53" s="16" t="s">
        <v>213</v>
      </c>
      <c r="I53" s="16">
        <v>1</v>
      </c>
      <c r="J53" s="16">
        <v>3</v>
      </c>
      <c r="K53" s="16"/>
      <c r="L53" s="16">
        <v>34.6</v>
      </c>
      <c r="M53" s="16">
        <v>23.6</v>
      </c>
    </row>
    <row r="54" spans="1:13" ht="75.75" thickTop="1" x14ac:dyDescent="0.25">
      <c r="A54" s="11">
        <v>2024</v>
      </c>
      <c r="B54" s="11" t="s">
        <v>145</v>
      </c>
      <c r="C54" s="11" t="s">
        <v>146</v>
      </c>
      <c r="D54" s="11" t="s">
        <v>184</v>
      </c>
      <c r="E54" s="11" t="s">
        <v>259</v>
      </c>
      <c r="F54" s="11" t="s">
        <v>260</v>
      </c>
      <c r="G54" s="11">
        <v>2025</v>
      </c>
      <c r="H54" s="11"/>
      <c r="I54" s="11">
        <v>1</v>
      </c>
      <c r="J54" s="11">
        <v>3</v>
      </c>
      <c r="K54" s="11"/>
      <c r="L54" s="11">
        <v>35</v>
      </c>
      <c r="M54" s="11">
        <v>40</v>
      </c>
    </row>
    <row r="55" spans="1:13" ht="60" x14ac:dyDescent="0.25">
      <c r="A55" s="16">
        <v>2024</v>
      </c>
      <c r="B55" s="16" t="s">
        <v>145</v>
      </c>
      <c r="C55" s="16" t="s">
        <v>146</v>
      </c>
      <c r="D55" s="16" t="s">
        <v>182</v>
      </c>
      <c r="E55" s="16" t="s">
        <v>261</v>
      </c>
      <c r="F55" s="16" t="s">
        <v>262</v>
      </c>
      <c r="G55" s="16">
        <v>2025</v>
      </c>
      <c r="H55" s="16"/>
      <c r="I55" s="16">
        <v>1</v>
      </c>
      <c r="J55" s="16">
        <v>2</v>
      </c>
      <c r="K55" s="16"/>
      <c r="L55" s="16">
        <v>35.1</v>
      </c>
      <c r="M55" s="16">
        <v>40.1</v>
      </c>
    </row>
    <row r="56" spans="1:13" ht="75.75" thickBot="1" x14ac:dyDescent="0.3">
      <c r="A56" s="16">
        <v>2024</v>
      </c>
      <c r="B56" s="16" t="s">
        <v>145</v>
      </c>
      <c r="C56" s="16" t="s">
        <v>146</v>
      </c>
      <c r="D56" s="16" t="s">
        <v>182</v>
      </c>
      <c r="E56" s="16" t="s">
        <v>263</v>
      </c>
      <c r="F56" s="16" t="s">
        <v>264</v>
      </c>
      <c r="G56" s="16">
        <v>2025</v>
      </c>
      <c r="H56" s="16"/>
      <c r="I56" s="16">
        <v>1</v>
      </c>
      <c r="J56" s="16">
        <v>1</v>
      </c>
      <c r="K56" s="16"/>
      <c r="L56" s="16">
        <v>35.200000000000003</v>
      </c>
      <c r="M56" s="16">
        <v>40.200000000000003</v>
      </c>
    </row>
    <row r="57" spans="1:13" ht="60.75" thickTop="1" x14ac:dyDescent="0.25">
      <c r="A57" s="13">
        <v>2024</v>
      </c>
      <c r="B57" s="13" t="s">
        <v>148</v>
      </c>
      <c r="C57" s="13" t="s">
        <v>149</v>
      </c>
      <c r="D57" s="13" t="s">
        <v>179</v>
      </c>
      <c r="E57" s="13" t="s">
        <v>265</v>
      </c>
      <c r="F57" s="13" t="s">
        <v>266</v>
      </c>
      <c r="G57" s="13">
        <v>2025</v>
      </c>
      <c r="H57" s="13"/>
      <c r="I57" s="13">
        <v>1</v>
      </c>
      <c r="J57" s="13">
        <v>0</v>
      </c>
      <c r="K57" s="13"/>
      <c r="L57" s="13">
        <v>36</v>
      </c>
      <c r="M57" s="13">
        <v>36</v>
      </c>
    </row>
    <row r="58" spans="1:13" ht="90.75" thickBot="1" x14ac:dyDescent="0.3">
      <c r="A58" s="17">
        <v>2024</v>
      </c>
      <c r="B58" s="17" t="s">
        <v>148</v>
      </c>
      <c r="C58" s="17" t="s">
        <v>149</v>
      </c>
      <c r="D58" s="17" t="s">
        <v>184</v>
      </c>
      <c r="E58" s="17" t="s">
        <v>267</v>
      </c>
      <c r="F58" s="17"/>
      <c r="G58" s="17"/>
      <c r="H58" s="17" t="s">
        <v>190</v>
      </c>
      <c r="I58" s="17">
        <v>2</v>
      </c>
      <c r="J58" s="17">
        <v>0</v>
      </c>
      <c r="K58" s="17" t="s">
        <v>268</v>
      </c>
      <c r="L58" s="17">
        <v>36.1</v>
      </c>
      <c r="M58" s="17">
        <v>36.1</v>
      </c>
    </row>
    <row r="59" spans="1:13" ht="106.5" thickTop="1" thickBot="1" x14ac:dyDescent="0.3">
      <c r="A59" s="3">
        <v>2023</v>
      </c>
      <c r="B59" s="3" t="s">
        <v>152</v>
      </c>
      <c r="C59" s="3" t="s">
        <v>153</v>
      </c>
      <c r="D59" s="3" t="s">
        <v>182</v>
      </c>
      <c r="E59" s="3" t="s">
        <v>269</v>
      </c>
      <c r="F59" s="3" t="s">
        <v>270</v>
      </c>
      <c r="G59" s="3">
        <v>2024</v>
      </c>
      <c r="H59" s="3"/>
      <c r="I59" s="3">
        <v>2</v>
      </c>
      <c r="J59" s="3">
        <v>0</v>
      </c>
      <c r="K59" s="3"/>
      <c r="L59" s="3">
        <v>38</v>
      </c>
      <c r="M59" s="3">
        <v>30</v>
      </c>
    </row>
    <row r="60" spans="1:13" ht="61.5" thickTop="1" thickBot="1" x14ac:dyDescent="0.3">
      <c r="A60" s="5">
        <v>2021</v>
      </c>
      <c r="B60" s="5" t="s">
        <v>158</v>
      </c>
      <c r="C60" s="5" t="s">
        <v>159</v>
      </c>
      <c r="D60" s="5" t="s">
        <v>182</v>
      </c>
      <c r="E60" s="5" t="s">
        <v>271</v>
      </c>
      <c r="F60" s="5" t="s">
        <v>272</v>
      </c>
      <c r="G60" s="5"/>
      <c r="H60" s="5"/>
      <c r="I60" s="5">
        <v>3</v>
      </c>
      <c r="J60" s="5"/>
      <c r="K60" s="5"/>
      <c r="L60" s="5">
        <v>39</v>
      </c>
      <c r="M60" s="5">
        <v>4</v>
      </c>
    </row>
    <row r="61" spans="1:13" ht="60.75" thickTop="1" x14ac:dyDescent="0.25">
      <c r="A61" s="7">
        <v>2022</v>
      </c>
      <c r="B61" s="7" t="s">
        <v>166</v>
      </c>
      <c r="C61" s="7" t="s">
        <v>167</v>
      </c>
      <c r="D61" s="7" t="s">
        <v>184</v>
      </c>
      <c r="E61" s="7"/>
      <c r="F61" s="7"/>
      <c r="G61" s="7"/>
      <c r="H61" s="7" t="s">
        <v>221</v>
      </c>
      <c r="I61" s="7">
        <v>1</v>
      </c>
      <c r="J61" s="7">
        <v>1</v>
      </c>
      <c r="K61" s="7"/>
      <c r="L61" s="7">
        <v>41</v>
      </c>
      <c r="M61" s="7">
        <v>11</v>
      </c>
    </row>
    <row r="62" spans="1:13" ht="60" x14ac:dyDescent="0.25">
      <c r="A62" s="15">
        <v>2022</v>
      </c>
      <c r="B62" s="15" t="s">
        <v>166</v>
      </c>
      <c r="C62" s="15" t="s">
        <v>167</v>
      </c>
      <c r="D62" s="15"/>
      <c r="E62" s="15"/>
      <c r="F62" s="15"/>
      <c r="G62" s="15"/>
      <c r="H62" s="15"/>
      <c r="I62" s="15"/>
      <c r="J62" s="15"/>
      <c r="K62" s="15"/>
      <c r="L62" s="15">
        <v>41.1</v>
      </c>
      <c r="M62" s="15">
        <v>11.1</v>
      </c>
    </row>
    <row r="63" spans="1:13" ht="60" x14ac:dyDescent="0.25">
      <c r="A63" s="15">
        <v>2022</v>
      </c>
      <c r="B63" s="15" t="s">
        <v>166</v>
      </c>
      <c r="C63" s="15" t="s">
        <v>167</v>
      </c>
      <c r="D63" s="15"/>
      <c r="E63" s="15"/>
      <c r="F63" s="15"/>
      <c r="G63" s="15"/>
      <c r="H63" s="15"/>
      <c r="I63" s="15"/>
      <c r="J63" s="15"/>
      <c r="K63" s="15"/>
      <c r="L63" s="15">
        <v>41.2</v>
      </c>
      <c r="M63" s="15">
        <v>11.2</v>
      </c>
    </row>
    <row r="64" spans="1:13" ht="60.75" thickBot="1" x14ac:dyDescent="0.3">
      <c r="A64" s="15">
        <v>2022</v>
      </c>
      <c r="B64" s="15" t="s">
        <v>166</v>
      </c>
      <c r="C64" s="15" t="s">
        <v>167</v>
      </c>
      <c r="D64" s="15"/>
      <c r="E64" s="15"/>
      <c r="F64" s="15"/>
      <c r="G64" s="15"/>
      <c r="H64" s="15"/>
      <c r="I64" s="15"/>
      <c r="J64" s="15"/>
      <c r="K64" s="15"/>
      <c r="L64" s="15">
        <v>41.3</v>
      </c>
      <c r="M64" s="15">
        <v>11.3</v>
      </c>
    </row>
    <row r="65" spans="1:13" ht="60.75" thickTop="1" x14ac:dyDescent="0.25">
      <c r="A65" s="7">
        <v>2023</v>
      </c>
      <c r="B65" s="7" t="s">
        <v>166</v>
      </c>
      <c r="C65" s="7" t="s">
        <v>169</v>
      </c>
      <c r="D65" s="7" t="s">
        <v>182</v>
      </c>
      <c r="E65" s="7" t="s">
        <v>273</v>
      </c>
      <c r="F65" s="7" t="s">
        <v>274</v>
      </c>
      <c r="G65" s="7">
        <v>2024</v>
      </c>
      <c r="H65" s="7"/>
      <c r="I65" s="7">
        <v>1</v>
      </c>
      <c r="J65" s="7">
        <v>1</v>
      </c>
      <c r="K65" s="7"/>
      <c r="L65" s="7">
        <v>42</v>
      </c>
      <c r="M65" s="7">
        <v>28</v>
      </c>
    </row>
    <row r="66" spans="1:13" ht="60" x14ac:dyDescent="0.25">
      <c r="A66" s="15">
        <v>2023</v>
      </c>
      <c r="B66" s="15" t="s">
        <v>166</v>
      </c>
      <c r="C66" s="15" t="s">
        <v>169</v>
      </c>
      <c r="D66" s="15" t="s">
        <v>229</v>
      </c>
      <c r="E66" s="15" t="s">
        <v>275</v>
      </c>
      <c r="F66" s="15" t="s">
        <v>276</v>
      </c>
      <c r="G66" s="15">
        <v>2024</v>
      </c>
      <c r="H66" s="15"/>
      <c r="I66" s="15">
        <v>1</v>
      </c>
      <c r="J66" s="15"/>
      <c r="K66" s="15" t="s">
        <v>277</v>
      </c>
      <c r="L66" s="15">
        <v>42.1</v>
      </c>
      <c r="M66" s="15">
        <v>28.1</v>
      </c>
    </row>
    <row r="67" spans="1:13" ht="75" x14ac:dyDescent="0.25">
      <c r="A67" s="15">
        <v>2023</v>
      </c>
      <c r="B67" s="15" t="s">
        <v>166</v>
      </c>
      <c r="C67" s="15" t="s">
        <v>169</v>
      </c>
      <c r="D67" s="15" t="s">
        <v>229</v>
      </c>
      <c r="E67" s="15" t="s">
        <v>278</v>
      </c>
      <c r="F67" s="15" t="s">
        <v>279</v>
      </c>
      <c r="G67" s="15">
        <v>2024</v>
      </c>
      <c r="H67" s="15"/>
      <c r="I67" s="15">
        <v>1</v>
      </c>
      <c r="J67" s="15"/>
      <c r="K67" s="15" t="s">
        <v>280</v>
      </c>
      <c r="L67" s="15">
        <v>42.2</v>
      </c>
      <c r="M67" s="15">
        <v>28.2</v>
      </c>
    </row>
    <row r="68" spans="1:13" ht="75.75" thickBot="1" x14ac:dyDescent="0.3">
      <c r="A68" s="15">
        <v>2023</v>
      </c>
      <c r="B68" s="15" t="s">
        <v>166</v>
      </c>
      <c r="C68" s="15" t="s">
        <v>169</v>
      </c>
      <c r="D68" s="15" t="s">
        <v>229</v>
      </c>
      <c r="E68" s="15" t="s">
        <v>281</v>
      </c>
      <c r="F68" s="15" t="s">
        <v>282</v>
      </c>
      <c r="G68" s="15">
        <v>2023</v>
      </c>
      <c r="H68" s="15"/>
      <c r="I68" s="15">
        <v>1</v>
      </c>
      <c r="J68" s="15"/>
      <c r="K68" s="15" t="s">
        <v>280</v>
      </c>
      <c r="L68" s="15">
        <v>42.3</v>
      </c>
      <c r="M68" s="15">
        <v>28.3</v>
      </c>
    </row>
    <row r="69" spans="1:13" ht="90.75" thickTop="1" x14ac:dyDescent="0.25">
      <c r="A69" s="7">
        <v>2024</v>
      </c>
      <c r="B69" s="7" t="s">
        <v>166</v>
      </c>
      <c r="C69" s="7" t="s">
        <v>169</v>
      </c>
      <c r="D69" s="7" t="s">
        <v>182</v>
      </c>
      <c r="E69" s="7" t="s">
        <v>283</v>
      </c>
      <c r="F69" s="7" t="s">
        <v>284</v>
      </c>
      <c r="G69" s="7">
        <v>2025</v>
      </c>
      <c r="H69" s="7"/>
      <c r="I69" s="7">
        <v>1</v>
      </c>
      <c r="J69" s="7">
        <v>0</v>
      </c>
      <c r="K69" s="7"/>
      <c r="L69" s="7">
        <v>43</v>
      </c>
      <c r="M69" s="7">
        <v>45</v>
      </c>
    </row>
    <row r="70" spans="1:13" ht="60" x14ac:dyDescent="0.25">
      <c r="A70" s="15">
        <v>2024</v>
      </c>
      <c r="B70" s="15" t="s">
        <v>166</v>
      </c>
      <c r="C70" s="15" t="s">
        <v>169</v>
      </c>
      <c r="D70" s="15" t="s">
        <v>201</v>
      </c>
      <c r="E70" s="15" t="s">
        <v>285</v>
      </c>
      <c r="F70" s="15" t="s">
        <v>286</v>
      </c>
      <c r="G70" s="15"/>
      <c r="H70" s="15"/>
      <c r="I70" s="15"/>
      <c r="J70" s="15"/>
      <c r="K70" s="15"/>
      <c r="L70" s="15">
        <v>43.1</v>
      </c>
      <c r="M70" s="15">
        <v>45.1</v>
      </c>
    </row>
    <row r="71" spans="1:13" ht="60" x14ac:dyDescent="0.25">
      <c r="A71" s="15">
        <v>2024</v>
      </c>
      <c r="B71" s="15" t="s">
        <v>166</v>
      </c>
      <c r="C71" s="15" t="s">
        <v>169</v>
      </c>
      <c r="D71" s="15" t="s">
        <v>201</v>
      </c>
      <c r="E71" s="15" t="s">
        <v>287</v>
      </c>
      <c r="F71" s="15" t="s">
        <v>288</v>
      </c>
      <c r="G71" s="15"/>
      <c r="H71" s="15"/>
      <c r="I71" s="15"/>
      <c r="J71" s="15"/>
      <c r="K71" s="15"/>
      <c r="L71" s="15">
        <v>43.2</v>
      </c>
      <c r="M71" s="15">
        <v>45.2</v>
      </c>
    </row>
    <row r="72" spans="1:13" ht="60" x14ac:dyDescent="0.25">
      <c r="A72" s="15">
        <v>2024</v>
      </c>
      <c r="B72" s="15" t="s">
        <v>166</v>
      </c>
      <c r="C72" s="15" t="s">
        <v>169</v>
      </c>
      <c r="D72" s="15" t="s">
        <v>201</v>
      </c>
      <c r="E72" s="15" t="s">
        <v>289</v>
      </c>
      <c r="F72" s="15" t="s">
        <v>290</v>
      </c>
      <c r="G72" s="15"/>
      <c r="H72" s="15"/>
      <c r="I72" s="15"/>
      <c r="J72" s="15"/>
      <c r="K72" s="15"/>
      <c r="L72" s="15">
        <v>43.3</v>
      </c>
      <c r="M72" s="15">
        <v>45.3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3C750-9277-4C78-8A46-989B4DCDC8DA}">
  <dimension ref="A1:N13"/>
  <sheetViews>
    <sheetView workbookViewId="0">
      <pane xSplit="2" ySplit="1" topLeftCell="C2" activePane="bottomRight" state="frozen"/>
      <selection pane="topRight" activeCell="C1" sqref="C1"/>
      <selection pane="bottomLeft" activeCell="A2" sqref="A2"/>
      <selection pane="bottomRight" activeCell="J4" sqref="J4"/>
    </sheetView>
  </sheetViews>
  <sheetFormatPr defaultRowHeight="15" x14ac:dyDescent="0.25"/>
  <cols>
    <col min="1" max="1" width="10.28515625" customWidth="1"/>
    <col min="2" max="2" width="21.42578125" customWidth="1"/>
    <col min="3" max="3" width="36.7109375" customWidth="1"/>
    <col min="4" max="4" width="16.42578125" customWidth="1"/>
    <col min="5" max="5" width="25.140625" customWidth="1"/>
    <col min="6" max="6" width="27.5703125" customWidth="1"/>
    <col min="7" max="7" width="9.7109375" customWidth="1"/>
    <col min="8" max="8" width="13.140625" customWidth="1"/>
    <col min="9" max="9" width="15.28515625" customWidth="1"/>
    <col min="10" max="10" width="18.140625" customWidth="1"/>
    <col min="11" max="11" width="23.85546875" customWidth="1"/>
    <col min="12" max="12" width="27.28515625" customWidth="1"/>
    <col min="14" max="14" width="9.7109375" customWidth="1"/>
  </cols>
  <sheetData>
    <row r="1" spans="1:14" ht="45.75" thickBot="1" x14ac:dyDescent="0.3">
      <c r="A1" s="1" t="s">
        <v>0</v>
      </c>
      <c r="B1" s="1" t="s">
        <v>1</v>
      </c>
      <c r="C1" s="1" t="s">
        <v>2</v>
      </c>
      <c r="D1" s="1" t="s">
        <v>291</v>
      </c>
      <c r="E1" s="1" t="s">
        <v>292</v>
      </c>
      <c r="F1" s="1" t="s">
        <v>293</v>
      </c>
      <c r="G1" s="1" t="s">
        <v>294</v>
      </c>
      <c r="H1" s="20" t="s">
        <v>295</v>
      </c>
      <c r="I1" s="1" t="s">
        <v>296</v>
      </c>
      <c r="J1" s="1" t="s">
        <v>297</v>
      </c>
      <c r="K1" s="2" t="s">
        <v>298</v>
      </c>
      <c r="L1" s="1" t="s">
        <v>299</v>
      </c>
      <c r="M1" s="1" t="s">
        <v>16</v>
      </c>
      <c r="N1" s="1" t="s">
        <v>17</v>
      </c>
    </row>
    <row r="2" spans="1:14" ht="60.75" thickTop="1" x14ac:dyDescent="0.25">
      <c r="A2" s="3">
        <v>2021</v>
      </c>
      <c r="B2" s="3" t="s">
        <v>62</v>
      </c>
      <c r="C2" s="3" t="s">
        <v>63</v>
      </c>
      <c r="D2" s="3" t="s">
        <v>313</v>
      </c>
      <c r="E2" s="3"/>
      <c r="F2" s="3" t="s">
        <v>300</v>
      </c>
      <c r="G2" s="3"/>
      <c r="H2" s="3"/>
      <c r="I2" s="3" t="s">
        <v>67</v>
      </c>
      <c r="J2" s="3" t="s">
        <v>317</v>
      </c>
      <c r="K2" s="4">
        <v>250000</v>
      </c>
      <c r="L2" s="3" t="s">
        <v>136</v>
      </c>
      <c r="M2" s="3">
        <v>9</v>
      </c>
      <c r="N2" s="3">
        <v>5</v>
      </c>
    </row>
    <row r="3" spans="1:14" ht="45.75" thickBot="1" x14ac:dyDescent="0.3">
      <c r="A3" s="18">
        <v>2021</v>
      </c>
      <c r="B3" s="18" t="s">
        <v>62</v>
      </c>
      <c r="C3" s="18" t="s">
        <v>63</v>
      </c>
      <c r="D3" s="18" t="s">
        <v>313</v>
      </c>
      <c r="E3" s="18"/>
      <c r="F3" s="18" t="s">
        <v>301</v>
      </c>
      <c r="G3" s="18"/>
      <c r="H3" s="18"/>
      <c r="I3" s="18" t="s">
        <v>67</v>
      </c>
      <c r="J3" s="18" t="s">
        <v>317</v>
      </c>
      <c r="K3" s="22">
        <v>100000</v>
      </c>
      <c r="L3" s="18"/>
      <c r="M3" s="18">
        <v>9.1</v>
      </c>
      <c r="N3" s="18">
        <v>5.0999999999999996</v>
      </c>
    </row>
    <row r="4" spans="1:14" ht="46.5" thickTop="1" thickBot="1" x14ac:dyDescent="0.3">
      <c r="A4" s="5">
        <v>2023</v>
      </c>
      <c r="B4" s="5" t="s">
        <v>75</v>
      </c>
      <c r="C4" s="5" t="s">
        <v>81</v>
      </c>
      <c r="D4" s="5" t="s">
        <v>302</v>
      </c>
      <c r="E4" s="5" t="s">
        <v>303</v>
      </c>
      <c r="F4" s="5" t="s">
        <v>304</v>
      </c>
      <c r="G4" s="5">
        <v>2024</v>
      </c>
      <c r="H4" s="5" t="s">
        <v>305</v>
      </c>
      <c r="I4" s="5" t="s">
        <v>80</v>
      </c>
      <c r="J4" s="5" t="s">
        <v>306</v>
      </c>
      <c r="K4" s="6">
        <v>0</v>
      </c>
      <c r="L4" s="5"/>
      <c r="M4" s="5">
        <v>12</v>
      </c>
      <c r="N4" s="5">
        <v>21</v>
      </c>
    </row>
    <row r="5" spans="1:14" ht="121.5" thickTop="1" thickBot="1" x14ac:dyDescent="0.3">
      <c r="A5" s="7">
        <v>2022</v>
      </c>
      <c r="B5" s="7" t="s">
        <v>104</v>
      </c>
      <c r="C5" s="7" t="s">
        <v>105</v>
      </c>
      <c r="D5" s="7" t="s">
        <v>302</v>
      </c>
      <c r="E5" s="7" t="s">
        <v>307</v>
      </c>
      <c r="F5" s="7" t="s">
        <v>308</v>
      </c>
      <c r="G5" s="7">
        <v>2023</v>
      </c>
      <c r="H5" s="7" t="s">
        <v>309</v>
      </c>
      <c r="I5" s="7" t="s">
        <v>310</v>
      </c>
      <c r="J5" s="7" t="s">
        <v>311</v>
      </c>
      <c r="K5" s="8">
        <v>6000</v>
      </c>
      <c r="L5" s="7" t="s">
        <v>312</v>
      </c>
      <c r="M5" s="7">
        <v>20</v>
      </c>
      <c r="N5" s="7">
        <v>8</v>
      </c>
    </row>
    <row r="6" spans="1:14" ht="136.5" thickTop="1" thickBot="1" x14ac:dyDescent="0.3">
      <c r="A6" s="9">
        <v>2024</v>
      </c>
      <c r="B6" s="9" t="s">
        <v>139</v>
      </c>
      <c r="C6" s="9" t="s">
        <v>140</v>
      </c>
      <c r="D6" s="9" t="s">
        <v>313</v>
      </c>
      <c r="E6" s="9" t="s">
        <v>314</v>
      </c>
      <c r="F6" s="9" t="s">
        <v>315</v>
      </c>
      <c r="G6" s="9">
        <v>2024</v>
      </c>
      <c r="H6" s="9" t="s">
        <v>316</v>
      </c>
      <c r="I6" s="9" t="s">
        <v>67</v>
      </c>
      <c r="J6" s="9" t="s">
        <v>317</v>
      </c>
      <c r="K6" s="10">
        <v>198167</v>
      </c>
      <c r="L6" s="9"/>
      <c r="M6" s="9">
        <v>32</v>
      </c>
      <c r="N6" s="9">
        <v>42</v>
      </c>
    </row>
    <row r="7" spans="1:14" ht="60.75" thickTop="1" x14ac:dyDescent="0.25">
      <c r="A7" s="11">
        <v>2022</v>
      </c>
      <c r="B7" s="11" t="s">
        <v>166</v>
      </c>
      <c r="C7" s="11" t="s">
        <v>167</v>
      </c>
      <c r="D7" s="11" t="s">
        <v>302</v>
      </c>
      <c r="E7" s="11" t="s">
        <v>318</v>
      </c>
      <c r="F7" s="11" t="s">
        <v>319</v>
      </c>
      <c r="G7" s="11">
        <v>2021</v>
      </c>
      <c r="H7" s="11" t="s">
        <v>320</v>
      </c>
      <c r="I7" s="11" t="s">
        <v>321</v>
      </c>
      <c r="J7" s="11" t="s">
        <v>311</v>
      </c>
      <c r="K7" s="12">
        <v>1000</v>
      </c>
      <c r="L7" s="11"/>
      <c r="M7" s="11">
        <v>41</v>
      </c>
      <c r="N7" s="11">
        <v>11</v>
      </c>
    </row>
    <row r="8" spans="1:14" ht="60" x14ac:dyDescent="0.25">
      <c r="A8" s="16">
        <v>2022</v>
      </c>
      <c r="B8" s="16" t="s">
        <v>166</v>
      </c>
      <c r="C8" s="16" t="s">
        <v>167</v>
      </c>
      <c r="D8" s="16" t="s">
        <v>313</v>
      </c>
      <c r="E8" s="16" t="s">
        <v>322</v>
      </c>
      <c r="F8" s="16" t="s">
        <v>323</v>
      </c>
      <c r="G8" s="16">
        <v>2021</v>
      </c>
      <c r="H8" s="16" t="s">
        <v>320</v>
      </c>
      <c r="I8" s="16" t="s">
        <v>321</v>
      </c>
      <c r="J8" s="16" t="s">
        <v>311</v>
      </c>
      <c r="K8" s="21">
        <v>500</v>
      </c>
      <c r="L8" s="16" t="s">
        <v>324</v>
      </c>
      <c r="M8" s="16">
        <v>41.1</v>
      </c>
      <c r="N8" s="16">
        <v>11.1</v>
      </c>
    </row>
    <row r="9" spans="1:14" ht="60" x14ac:dyDescent="0.25">
      <c r="A9" s="16">
        <v>2022</v>
      </c>
      <c r="B9" s="16" t="s">
        <v>166</v>
      </c>
      <c r="C9" s="16" t="s">
        <v>167</v>
      </c>
      <c r="D9" s="16" t="s">
        <v>313</v>
      </c>
      <c r="E9" s="16" t="s">
        <v>325</v>
      </c>
      <c r="F9" s="16" t="s">
        <v>326</v>
      </c>
      <c r="G9" s="16">
        <v>2022</v>
      </c>
      <c r="H9" s="16" t="s">
        <v>309</v>
      </c>
      <c r="I9" s="16" t="s">
        <v>321</v>
      </c>
      <c r="J9" s="16" t="s">
        <v>311</v>
      </c>
      <c r="K9" s="21">
        <v>4965</v>
      </c>
      <c r="L9" s="16" t="s">
        <v>327</v>
      </c>
      <c r="M9" s="16">
        <v>41.2</v>
      </c>
      <c r="N9" s="16">
        <v>11.2</v>
      </c>
    </row>
    <row r="10" spans="1:14" ht="75.75" thickBot="1" x14ac:dyDescent="0.3">
      <c r="A10" s="16">
        <v>2022</v>
      </c>
      <c r="B10" s="16" t="s">
        <v>166</v>
      </c>
      <c r="C10" s="16" t="s">
        <v>167</v>
      </c>
      <c r="D10" s="16" t="s">
        <v>313</v>
      </c>
      <c r="E10" s="16" t="s">
        <v>322</v>
      </c>
      <c r="F10" s="16" t="s">
        <v>328</v>
      </c>
      <c r="G10" s="16">
        <v>2023</v>
      </c>
      <c r="H10" s="16" t="s">
        <v>329</v>
      </c>
      <c r="I10" s="16" t="s">
        <v>321</v>
      </c>
      <c r="J10" s="16" t="s">
        <v>311</v>
      </c>
      <c r="K10" s="21">
        <v>500</v>
      </c>
      <c r="L10" s="16" t="s">
        <v>330</v>
      </c>
      <c r="M10" s="16">
        <v>41.3</v>
      </c>
      <c r="N10" s="16">
        <v>11.3</v>
      </c>
    </row>
    <row r="11" spans="1:14" ht="75.75" thickTop="1" x14ac:dyDescent="0.25">
      <c r="A11" s="11">
        <v>2023</v>
      </c>
      <c r="B11" s="11" t="s">
        <v>166</v>
      </c>
      <c r="C11" s="11" t="s">
        <v>169</v>
      </c>
      <c r="D11" s="11" t="s">
        <v>302</v>
      </c>
      <c r="E11" s="11" t="s">
        <v>331</v>
      </c>
      <c r="F11" s="11" t="s">
        <v>332</v>
      </c>
      <c r="G11" s="11">
        <v>2024</v>
      </c>
      <c r="H11" s="11" t="s">
        <v>309</v>
      </c>
      <c r="I11" s="11" t="s">
        <v>321</v>
      </c>
      <c r="J11" s="11" t="s">
        <v>311</v>
      </c>
      <c r="K11" s="12">
        <v>250</v>
      </c>
      <c r="L11" s="11" t="s">
        <v>333</v>
      </c>
      <c r="M11" s="11">
        <v>42</v>
      </c>
      <c r="N11" s="11">
        <v>28</v>
      </c>
    </row>
    <row r="12" spans="1:14" ht="60" x14ac:dyDescent="0.25">
      <c r="A12" s="16">
        <v>2023</v>
      </c>
      <c r="B12" s="16" t="s">
        <v>166</v>
      </c>
      <c r="C12" s="16" t="s">
        <v>169</v>
      </c>
      <c r="D12" s="16" t="s">
        <v>302</v>
      </c>
      <c r="E12" s="16"/>
      <c r="F12" s="16" t="s">
        <v>334</v>
      </c>
      <c r="G12" s="16">
        <v>2024</v>
      </c>
      <c r="H12" s="16" t="s">
        <v>329</v>
      </c>
      <c r="I12" s="16" t="s">
        <v>321</v>
      </c>
      <c r="J12" s="16" t="s">
        <v>311</v>
      </c>
      <c r="K12" s="21">
        <v>0</v>
      </c>
      <c r="L12" s="16" t="s">
        <v>335</v>
      </c>
      <c r="M12" s="16">
        <v>42.1</v>
      </c>
      <c r="N12" s="16">
        <v>28.1</v>
      </c>
    </row>
    <row r="13" spans="1:14" ht="75" x14ac:dyDescent="0.25">
      <c r="A13" s="16">
        <v>2023</v>
      </c>
      <c r="B13" s="16" t="s">
        <v>166</v>
      </c>
      <c r="C13" s="16" t="s">
        <v>169</v>
      </c>
      <c r="D13" s="16" t="s">
        <v>302</v>
      </c>
      <c r="E13" s="16" t="s">
        <v>336</v>
      </c>
      <c r="F13" s="16" t="s">
        <v>337</v>
      </c>
      <c r="G13" s="16">
        <v>2024</v>
      </c>
      <c r="H13" s="16"/>
      <c r="I13" s="16" t="s">
        <v>170</v>
      </c>
      <c r="J13" s="16" t="s">
        <v>317</v>
      </c>
      <c r="K13" s="21">
        <v>0</v>
      </c>
      <c r="L13" s="16"/>
      <c r="M13" s="16">
        <v>42.2</v>
      </c>
      <c r="N13" s="16">
        <v>28.2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sample_projects</vt:lpstr>
      <vt:lpstr>sample_products</vt:lpstr>
      <vt:lpstr>sample_awards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Fallaw, Alex</dc:creator>
  <cp:lastModifiedBy>Fallaw, Alex</cp:lastModifiedBy>
  <dcterms:created xsi:type="dcterms:W3CDTF">2026-01-18T16:15:52Z</dcterms:created>
  <dcterms:modified xsi:type="dcterms:W3CDTF">2026-01-20T15:57:51Z</dcterms:modified>
</cp:coreProperties>
</file>